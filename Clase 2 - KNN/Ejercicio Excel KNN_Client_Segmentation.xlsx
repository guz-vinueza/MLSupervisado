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_2024\Pry\UdeSA\_ML Supervisado 2026\2 Aprendizaje Supervisado\"/>
    </mc:Choice>
  </mc:AlternateContent>
  <xr:revisionPtr revIDLastSave="0" documentId="13_ncr:1_{378A16C6-AA26-4C6A-8491-CD8573442923}" xr6:coauthVersionLast="47" xr6:coauthVersionMax="47" xr10:uidLastSave="{00000000-0000-0000-0000-000000000000}"/>
  <bookViews>
    <workbookView xWindow="14303" yWindow="-98" windowWidth="28995" windowHeight="15675" activeTab="4" xr2:uid="{00000000-000D-0000-FFFF-FFFF00000000}"/>
  </bookViews>
  <sheets>
    <sheet name="01 - Original Data" sheetId="1" r:id="rId1"/>
    <sheet name="02 - Scaled Data" sheetId="2" r:id="rId2"/>
    <sheet name="03 - New Client" sheetId="3" r:id="rId3"/>
    <sheet name="04 - Distances" sheetId="4" r:id="rId4"/>
    <sheet name="05 - Nearest Neighbors" sheetId="5" r:id="rId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D10" i="5"/>
  <c r="J11" i="4"/>
  <c r="J12" i="4"/>
  <c r="J13" i="4"/>
  <c r="J14" i="4"/>
  <c r="J18" i="4"/>
  <c r="J19" i="4"/>
  <c r="J20" i="4"/>
  <c r="J21" i="4"/>
  <c r="J23" i="4"/>
  <c r="J26" i="4"/>
  <c r="J31" i="4"/>
  <c r="J32" i="4"/>
  <c r="J33" i="4"/>
  <c r="J38" i="4"/>
  <c r="J39" i="4"/>
  <c r="J40" i="4"/>
  <c r="J41" i="4"/>
  <c r="J46" i="4"/>
  <c r="J51" i="4"/>
  <c r="J52" i="4"/>
  <c r="J53" i="4"/>
  <c r="J54" i="4"/>
  <c r="J55" i="4"/>
  <c r="J58" i="4"/>
  <c r="J59" i="4"/>
  <c r="J60" i="4"/>
  <c r="J63" i="4"/>
  <c r="J65" i="4"/>
  <c r="J71" i="4"/>
  <c r="J72" i="4"/>
  <c r="J73" i="4"/>
  <c r="J74" i="4"/>
  <c r="J78" i="4"/>
  <c r="J79" i="4"/>
  <c r="J80" i="4"/>
  <c r="J81" i="4"/>
  <c r="J83" i="4"/>
  <c r="J91" i="4"/>
  <c r="J92" i="4"/>
  <c r="J93" i="4"/>
  <c r="J94" i="4"/>
  <c r="J95" i="4"/>
  <c r="J98" i="4"/>
  <c r="J99" i="4"/>
  <c r="J100" i="4"/>
  <c r="J101" i="4"/>
  <c r="J103" i="4"/>
  <c r="J105" i="4"/>
  <c r="J106" i="4"/>
  <c r="E5" i="4"/>
  <c r="F10" i="5" s="1"/>
  <c r="D5" i="4"/>
  <c r="C5" i="4"/>
  <c r="C9" i="5"/>
  <c r="E9" i="5" s="1"/>
  <c r="C8" i="5"/>
  <c r="C7" i="5"/>
  <c r="F7" i="5" s="1"/>
  <c r="C6" i="5"/>
  <c r="F6" i="5" s="1"/>
  <c r="C5" i="5"/>
  <c r="E5" i="5" s="1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7" i="4"/>
  <c r="E14" i="1"/>
  <c r="E15" i="1"/>
  <c r="E16" i="1"/>
  <c r="E17" i="1"/>
  <c r="E18" i="1"/>
  <c r="J22" i="4" s="1"/>
  <c r="E19" i="1"/>
  <c r="E20" i="1"/>
  <c r="J24" i="4" s="1"/>
  <c r="E21" i="1"/>
  <c r="J25" i="4" s="1"/>
  <c r="E22" i="1"/>
  <c r="E23" i="1"/>
  <c r="J27" i="4" s="1"/>
  <c r="E24" i="1"/>
  <c r="J28" i="4" s="1"/>
  <c r="E25" i="1"/>
  <c r="J29" i="4" s="1"/>
  <c r="E26" i="1"/>
  <c r="J30" i="4" s="1"/>
  <c r="E27" i="1"/>
  <c r="E28" i="1"/>
  <c r="E29" i="1"/>
  <c r="E30" i="1"/>
  <c r="J34" i="4" s="1"/>
  <c r="E31" i="1"/>
  <c r="J35" i="4" s="1"/>
  <c r="E32" i="1"/>
  <c r="J36" i="4" s="1"/>
  <c r="E33" i="1"/>
  <c r="J37" i="4" s="1"/>
  <c r="E34" i="1"/>
  <c r="E35" i="1"/>
  <c r="E36" i="1"/>
  <c r="E37" i="1"/>
  <c r="E38" i="1"/>
  <c r="J42" i="4" s="1"/>
  <c r="E39" i="1"/>
  <c r="J43" i="4" s="1"/>
  <c r="E40" i="1"/>
  <c r="J44" i="4" s="1"/>
  <c r="E41" i="1"/>
  <c r="J45" i="4" s="1"/>
  <c r="E42" i="1"/>
  <c r="E43" i="1"/>
  <c r="J47" i="4" s="1"/>
  <c r="E44" i="1"/>
  <c r="J48" i="4" s="1"/>
  <c r="E45" i="1"/>
  <c r="J49" i="4" s="1"/>
  <c r="E46" i="1"/>
  <c r="J50" i="4" s="1"/>
  <c r="E47" i="1"/>
  <c r="E48" i="1"/>
  <c r="E49" i="1"/>
  <c r="E50" i="1"/>
  <c r="E51" i="1"/>
  <c r="E52" i="1"/>
  <c r="J56" i="4" s="1"/>
  <c r="E53" i="1"/>
  <c r="J57" i="4" s="1"/>
  <c r="E54" i="1"/>
  <c r="E55" i="1"/>
  <c r="E56" i="1"/>
  <c r="E57" i="1"/>
  <c r="J61" i="4" s="1"/>
  <c r="E58" i="1"/>
  <c r="J62" i="4" s="1"/>
  <c r="E59" i="1"/>
  <c r="E60" i="1"/>
  <c r="J64" i="4" s="1"/>
  <c r="E61" i="1"/>
  <c r="E62" i="1"/>
  <c r="J66" i="4" s="1"/>
  <c r="E63" i="1"/>
  <c r="J67" i="4" s="1"/>
  <c r="E64" i="1"/>
  <c r="J68" i="4" s="1"/>
  <c r="E65" i="1"/>
  <c r="J69" i="4" s="1"/>
  <c r="E66" i="1"/>
  <c r="J70" i="4" s="1"/>
  <c r="E67" i="1"/>
  <c r="E68" i="1"/>
  <c r="E69" i="1"/>
  <c r="E70" i="1"/>
  <c r="E71" i="1"/>
  <c r="J75" i="4" s="1"/>
  <c r="E72" i="1"/>
  <c r="J76" i="4" s="1"/>
  <c r="E73" i="1"/>
  <c r="J77" i="4" s="1"/>
  <c r="E74" i="1"/>
  <c r="E75" i="1"/>
  <c r="E76" i="1"/>
  <c r="E77" i="1"/>
  <c r="E78" i="1"/>
  <c r="J82" i="4" s="1"/>
  <c r="E79" i="1"/>
  <c r="E80" i="1"/>
  <c r="J84" i="4" s="1"/>
  <c r="E81" i="1"/>
  <c r="J85" i="4" s="1"/>
  <c r="E82" i="1"/>
  <c r="J86" i="4" s="1"/>
  <c r="E83" i="1"/>
  <c r="J87" i="4" s="1"/>
  <c r="E84" i="1"/>
  <c r="J88" i="4" s="1"/>
  <c r="E85" i="1"/>
  <c r="J89" i="4" s="1"/>
  <c r="E86" i="1"/>
  <c r="J90" i="4" s="1"/>
  <c r="E87" i="1"/>
  <c r="E88" i="1"/>
  <c r="E89" i="1"/>
  <c r="E90" i="1"/>
  <c r="E91" i="1"/>
  <c r="E92" i="1"/>
  <c r="J96" i="4" s="1"/>
  <c r="E93" i="1"/>
  <c r="J97" i="4" s="1"/>
  <c r="E94" i="1"/>
  <c r="E95" i="1"/>
  <c r="E96" i="1"/>
  <c r="E97" i="1"/>
  <c r="E98" i="1"/>
  <c r="J102" i="4" s="1"/>
  <c r="E99" i="1"/>
  <c r="E100" i="1"/>
  <c r="J104" i="4" s="1"/>
  <c r="E101" i="1"/>
  <c r="E102" i="1"/>
  <c r="E4" i="1"/>
  <c r="J8" i="4" s="1"/>
  <c r="E5" i="1"/>
  <c r="J9" i="4" s="1"/>
  <c r="E6" i="1"/>
  <c r="J10" i="4" s="1"/>
  <c r="E7" i="1"/>
  <c r="E8" i="1"/>
  <c r="E9" i="1"/>
  <c r="E10" i="1"/>
  <c r="E11" i="1"/>
  <c r="J15" i="4" s="1"/>
  <c r="E12" i="1"/>
  <c r="J16" i="4" s="1"/>
  <c r="E13" i="1"/>
  <c r="J17" i="4" s="1"/>
  <c r="E3" i="1"/>
  <c r="J7" i="4" s="1"/>
  <c r="E3" i="2"/>
  <c r="E2" i="2"/>
  <c r="E58" i="2" s="1"/>
  <c r="E59" i="4" s="1"/>
  <c r="D3" i="2"/>
  <c r="D2" i="2"/>
  <c r="D68" i="2" s="1"/>
  <c r="D69" i="4" s="1"/>
  <c r="C3" i="2"/>
  <c r="C15" i="2" s="1"/>
  <c r="C16" i="4" s="1"/>
  <c r="C2" i="2"/>
  <c r="C64" i="2" s="1"/>
  <c r="C65" i="4" s="1"/>
  <c r="D5" i="5" l="1"/>
  <c r="C52" i="2"/>
  <c r="C53" i="4" s="1"/>
  <c r="F53" i="4" s="1"/>
  <c r="D24" i="2"/>
  <c r="D25" i="4" s="1"/>
  <c r="D76" i="2"/>
  <c r="D77" i="4" s="1"/>
  <c r="E17" i="2"/>
  <c r="E18" i="4" s="1"/>
  <c r="E43" i="2"/>
  <c r="E44" i="4" s="1"/>
  <c r="E71" i="2"/>
  <c r="E72" i="4" s="1"/>
  <c r="H73" i="4" s="1"/>
  <c r="E101" i="2"/>
  <c r="E102" i="4" s="1"/>
  <c r="C51" i="2"/>
  <c r="C52" i="4" s="1"/>
  <c r="D27" i="2"/>
  <c r="D28" i="4" s="1"/>
  <c r="D77" i="2"/>
  <c r="D78" i="4" s="1"/>
  <c r="G78" i="4" s="1"/>
  <c r="E18" i="2"/>
  <c r="E19" i="4" s="1"/>
  <c r="E44" i="2"/>
  <c r="E45" i="4" s="1"/>
  <c r="E76" i="2"/>
  <c r="E77" i="4" s="1"/>
  <c r="E102" i="2"/>
  <c r="E103" i="4" s="1"/>
  <c r="E70" i="2"/>
  <c r="E71" i="4" s="1"/>
  <c r="J7" i="5" s="1"/>
  <c r="C35" i="2"/>
  <c r="C36" i="4" s="1"/>
  <c r="F36" i="4" s="1"/>
  <c r="D38" i="2"/>
  <c r="D39" i="4" s="1"/>
  <c r="D80" i="2"/>
  <c r="D81" i="4" s="1"/>
  <c r="G81" i="4" s="1"/>
  <c r="E21" i="2"/>
  <c r="E22" i="4" s="1"/>
  <c r="H22" i="4" s="1"/>
  <c r="E49" i="2"/>
  <c r="E50" i="4" s="1"/>
  <c r="E79" i="2"/>
  <c r="E80" i="4" s="1"/>
  <c r="C58" i="2"/>
  <c r="C59" i="4" s="1"/>
  <c r="F59" i="4" s="1"/>
  <c r="C7" i="2"/>
  <c r="C8" i="4" s="1"/>
  <c r="C33" i="2"/>
  <c r="C34" i="4" s="1"/>
  <c r="D40" i="2"/>
  <c r="D41" i="4" s="1"/>
  <c r="D88" i="2"/>
  <c r="D89" i="4" s="1"/>
  <c r="E23" i="2"/>
  <c r="E24" i="4" s="1"/>
  <c r="H25" i="4" s="1"/>
  <c r="E51" i="2"/>
  <c r="E52" i="4" s="1"/>
  <c r="E81" i="2"/>
  <c r="E82" i="4" s="1"/>
  <c r="J8" i="5" s="1"/>
  <c r="E100" i="2"/>
  <c r="E101" i="4" s="1"/>
  <c r="C94" i="2"/>
  <c r="C95" i="4" s="1"/>
  <c r="D41" i="2"/>
  <c r="D42" i="4" s="1"/>
  <c r="D89" i="2"/>
  <c r="D90" i="4" s="1"/>
  <c r="G90" i="4" s="1"/>
  <c r="E24" i="2"/>
  <c r="E25" i="4" s="1"/>
  <c r="E56" i="2"/>
  <c r="E57" i="4" s="1"/>
  <c r="H57" i="4" s="1"/>
  <c r="E82" i="2"/>
  <c r="E83" i="4" s="1"/>
  <c r="H83" i="4" s="1"/>
  <c r="D28" i="2"/>
  <c r="D29" i="4" s="1"/>
  <c r="D78" i="2"/>
  <c r="D79" i="4" s="1"/>
  <c r="G79" i="4" s="1"/>
  <c r="E47" i="2"/>
  <c r="E48" i="4" s="1"/>
  <c r="E103" i="2"/>
  <c r="E104" i="4" s="1"/>
  <c r="C36" i="2"/>
  <c r="C37" i="4" s="1"/>
  <c r="E20" i="2"/>
  <c r="E21" i="4" s="1"/>
  <c r="E104" i="2"/>
  <c r="E105" i="4" s="1"/>
  <c r="C34" i="2"/>
  <c r="C35" i="4" s="1"/>
  <c r="D81" i="2"/>
  <c r="D82" i="4" s="1"/>
  <c r="I8" i="5" s="1"/>
  <c r="E22" i="2"/>
  <c r="E23" i="4" s="1"/>
  <c r="E80" i="2"/>
  <c r="E81" i="4" s="1"/>
  <c r="C32" i="2"/>
  <c r="C33" i="4" s="1"/>
  <c r="C93" i="2"/>
  <c r="C94" i="4" s="1"/>
  <c r="C24" i="2"/>
  <c r="C25" i="4" s="1"/>
  <c r="D42" i="2"/>
  <c r="D43" i="4" s="1"/>
  <c r="D90" i="2"/>
  <c r="D91" i="4" s="1"/>
  <c r="I9" i="5" s="1"/>
  <c r="E27" i="2"/>
  <c r="E28" i="4" s="1"/>
  <c r="E57" i="2"/>
  <c r="E58" i="4" s="1"/>
  <c r="E83" i="2"/>
  <c r="E84" i="4" s="1"/>
  <c r="H85" i="4" s="1"/>
  <c r="E42" i="2"/>
  <c r="E43" i="4" s="1"/>
  <c r="H44" i="4" s="1"/>
  <c r="C50" i="2"/>
  <c r="C51" i="4" s="1"/>
  <c r="F52" i="4" s="1"/>
  <c r="E19" i="2"/>
  <c r="E20" i="4" s="1"/>
  <c r="E77" i="2"/>
  <c r="E78" i="4" s="1"/>
  <c r="H78" i="4" s="1"/>
  <c r="D37" i="2"/>
  <c r="D38" i="4" s="1"/>
  <c r="E78" i="2"/>
  <c r="E79" i="4" s="1"/>
  <c r="C92" i="2"/>
  <c r="C93" i="4" s="1"/>
  <c r="E95" i="2"/>
  <c r="E96" i="4" s="1"/>
  <c r="J5" i="5" s="1"/>
  <c r="D79" i="2"/>
  <c r="D80" i="4" s="1"/>
  <c r="E48" i="2"/>
  <c r="E49" i="4" s="1"/>
  <c r="C8" i="2"/>
  <c r="C9" i="4" s="1"/>
  <c r="F9" i="4" s="1"/>
  <c r="D39" i="2"/>
  <c r="D40" i="4" s="1"/>
  <c r="G40" i="4" s="1"/>
  <c r="E50" i="2"/>
  <c r="E51" i="4" s="1"/>
  <c r="C18" i="2"/>
  <c r="C19" i="4" s="1"/>
  <c r="D43" i="2"/>
  <c r="D44" i="4" s="1"/>
  <c r="D96" i="2"/>
  <c r="D97" i="4" s="1"/>
  <c r="E28" i="2"/>
  <c r="E29" i="4" s="1"/>
  <c r="E84" i="2"/>
  <c r="E85" i="4" s="1"/>
  <c r="C91" i="2"/>
  <c r="C92" i="4" s="1"/>
  <c r="C17" i="2"/>
  <c r="C18" i="4" s="1"/>
  <c r="D47" i="2"/>
  <c r="D48" i="4" s="1"/>
  <c r="G48" i="4" s="1"/>
  <c r="D97" i="2"/>
  <c r="D98" i="4" s="1"/>
  <c r="E29" i="2"/>
  <c r="E30" i="4" s="1"/>
  <c r="H30" i="4" s="1"/>
  <c r="E59" i="2"/>
  <c r="E60" i="4" s="1"/>
  <c r="H61" i="4" s="1"/>
  <c r="E87" i="2"/>
  <c r="E88" i="4" s="1"/>
  <c r="E60" i="2"/>
  <c r="E61" i="4" s="1"/>
  <c r="E61" i="2"/>
  <c r="E62" i="4" s="1"/>
  <c r="C63" i="2"/>
  <c r="C64" i="4" s="1"/>
  <c r="E41" i="2"/>
  <c r="E42" i="4" s="1"/>
  <c r="D48" i="2"/>
  <c r="D49" i="4" s="1"/>
  <c r="D69" i="2"/>
  <c r="D70" i="4" s="1"/>
  <c r="G70" i="4" s="1"/>
  <c r="D23" i="2"/>
  <c r="D24" i="4" s="1"/>
  <c r="G25" i="4" s="1"/>
  <c r="C90" i="2"/>
  <c r="C91" i="4" s="1"/>
  <c r="E37" i="2"/>
  <c r="E38" i="4" s="1"/>
  <c r="E16" i="2"/>
  <c r="E17" i="4" s="1"/>
  <c r="H18" i="4" s="1"/>
  <c r="E69" i="2"/>
  <c r="E70" i="4" s="1"/>
  <c r="D7" i="2"/>
  <c r="D8" i="4" s="1"/>
  <c r="D10" i="2"/>
  <c r="D11" i="4" s="1"/>
  <c r="E63" i="2"/>
  <c r="E64" i="4" s="1"/>
  <c r="C66" i="2"/>
  <c r="C67" i="4" s="1"/>
  <c r="F67" i="4" s="1"/>
  <c r="E97" i="2"/>
  <c r="E98" i="4" s="1"/>
  <c r="D22" i="2"/>
  <c r="D23" i="4" s="1"/>
  <c r="E11" i="2"/>
  <c r="E12" i="4" s="1"/>
  <c r="D70" i="2"/>
  <c r="D71" i="4" s="1"/>
  <c r="I7" i="5" s="1"/>
  <c r="D101" i="2"/>
  <c r="D102" i="4" s="1"/>
  <c r="E30" i="2"/>
  <c r="E31" i="4" s="1"/>
  <c r="E88" i="2"/>
  <c r="E89" i="4" s="1"/>
  <c r="C78" i="2"/>
  <c r="C79" i="4" s="1"/>
  <c r="D8" i="2"/>
  <c r="D9" i="4" s="1"/>
  <c r="D57" i="2"/>
  <c r="D58" i="4" s="1"/>
  <c r="D102" i="2"/>
  <c r="D103" i="4" s="1"/>
  <c r="E31" i="2"/>
  <c r="E32" i="4" s="1"/>
  <c r="H32" i="4" s="1"/>
  <c r="E89" i="2"/>
  <c r="E90" i="4" s="1"/>
  <c r="C77" i="2"/>
  <c r="C78" i="4" s="1"/>
  <c r="D9" i="2"/>
  <c r="D10" i="4" s="1"/>
  <c r="D58" i="2"/>
  <c r="D59" i="4" s="1"/>
  <c r="D103" i="2"/>
  <c r="D104" i="4" s="1"/>
  <c r="E36" i="2"/>
  <c r="E37" i="4" s="1"/>
  <c r="H38" i="4" s="1"/>
  <c r="E62" i="2"/>
  <c r="E63" i="4" s="1"/>
  <c r="E90" i="2"/>
  <c r="E91" i="4" s="1"/>
  <c r="J9" i="5" s="1"/>
  <c r="C76" i="2"/>
  <c r="C77" i="4" s="1"/>
  <c r="F77" i="4" s="1"/>
  <c r="D59" i="2"/>
  <c r="D60" i="4" s="1"/>
  <c r="G60" i="4" s="1"/>
  <c r="E7" i="2"/>
  <c r="E8" i="4" s="1"/>
  <c r="E91" i="2"/>
  <c r="E92" i="4" s="1"/>
  <c r="D16" i="2"/>
  <c r="D17" i="4" s="1"/>
  <c r="D60" i="2"/>
  <c r="D61" i="4" s="1"/>
  <c r="G62" i="4" s="1"/>
  <c r="E8" i="2"/>
  <c r="E9" i="4" s="1"/>
  <c r="E38" i="2"/>
  <c r="E39" i="4" s="1"/>
  <c r="E64" i="2"/>
  <c r="E65" i="4" s="1"/>
  <c r="E96" i="2"/>
  <c r="E97" i="4" s="1"/>
  <c r="H97" i="4" s="1"/>
  <c r="C65" i="2"/>
  <c r="C66" i="4" s="1"/>
  <c r="F66" i="4" s="1"/>
  <c r="D17" i="2"/>
  <c r="D18" i="4" s="1"/>
  <c r="G18" i="4" s="1"/>
  <c r="D61" i="2"/>
  <c r="D62" i="4" s="1"/>
  <c r="E9" i="2"/>
  <c r="E10" i="4" s="1"/>
  <c r="E39" i="2"/>
  <c r="E40" i="4" s="1"/>
  <c r="H40" i="4" s="1"/>
  <c r="E67" i="2"/>
  <c r="E68" i="4" s="1"/>
  <c r="H68" i="4" s="1"/>
  <c r="D18" i="2"/>
  <c r="D19" i="4" s="1"/>
  <c r="E10" i="2"/>
  <c r="E11" i="4" s="1"/>
  <c r="E40" i="2"/>
  <c r="E41" i="4" s="1"/>
  <c r="E68" i="2"/>
  <c r="E69" i="4" s="1"/>
  <c r="H69" i="4" s="1"/>
  <c r="E98" i="2"/>
  <c r="E99" i="4" s="1"/>
  <c r="H99" i="4" s="1"/>
  <c r="E99" i="2"/>
  <c r="E100" i="4" s="1"/>
  <c r="C96" i="2"/>
  <c r="C97" i="4" s="1"/>
  <c r="C70" i="2"/>
  <c r="C71" i="4" s="1"/>
  <c r="C38" i="2"/>
  <c r="C39" i="4" s="1"/>
  <c r="C11" i="2"/>
  <c r="C12" i="4" s="1"/>
  <c r="C95" i="2"/>
  <c r="C96" i="4" s="1"/>
  <c r="C67" i="2"/>
  <c r="C68" i="4" s="1"/>
  <c r="C37" i="2"/>
  <c r="C38" i="4" s="1"/>
  <c r="C10" i="2"/>
  <c r="C11" i="4" s="1"/>
  <c r="C6" i="2"/>
  <c r="C7" i="4" s="1"/>
  <c r="F8" i="4" s="1"/>
  <c r="C19" i="2"/>
  <c r="C20" i="4" s="1"/>
  <c r="C39" i="2"/>
  <c r="C40" i="4" s="1"/>
  <c r="C59" i="2"/>
  <c r="C60" i="4" s="1"/>
  <c r="C79" i="2"/>
  <c r="C80" i="4" s="1"/>
  <c r="F80" i="4" s="1"/>
  <c r="C99" i="2"/>
  <c r="C100" i="4" s="1"/>
  <c r="C20" i="2"/>
  <c r="C21" i="4" s="1"/>
  <c r="C40" i="2"/>
  <c r="C41" i="4" s="1"/>
  <c r="C60" i="2"/>
  <c r="C61" i="4" s="1"/>
  <c r="C80" i="2"/>
  <c r="C81" i="4" s="1"/>
  <c r="C100" i="2"/>
  <c r="C101" i="4" s="1"/>
  <c r="C21" i="2"/>
  <c r="C22" i="4" s="1"/>
  <c r="C61" i="2"/>
  <c r="C62" i="4" s="1"/>
  <c r="C101" i="2"/>
  <c r="C102" i="4" s="1"/>
  <c r="F102" i="4" s="1"/>
  <c r="C41" i="2"/>
  <c r="C42" i="4" s="1"/>
  <c r="C22" i="2"/>
  <c r="C23" i="4" s="1"/>
  <c r="C62" i="2"/>
  <c r="C63" i="4" s="1"/>
  <c r="F64" i="4" s="1"/>
  <c r="C82" i="2"/>
  <c r="C83" i="4" s="1"/>
  <c r="C81" i="2"/>
  <c r="C82" i="4" s="1"/>
  <c r="C42" i="2"/>
  <c r="C43" i="4" s="1"/>
  <c r="C102" i="2"/>
  <c r="C103" i="4" s="1"/>
  <c r="C23" i="2"/>
  <c r="C24" i="4" s="1"/>
  <c r="C6" i="4"/>
  <c r="C28" i="2"/>
  <c r="C29" i="4" s="1"/>
  <c r="C48" i="2"/>
  <c r="C49" i="4" s="1"/>
  <c r="C68" i="2"/>
  <c r="C69" i="4" s="1"/>
  <c r="F69" i="4" s="1"/>
  <c r="C88" i="2"/>
  <c r="C89" i="4" s="1"/>
  <c r="F89" i="4" s="1"/>
  <c r="C9" i="2"/>
  <c r="C10" i="4" s="1"/>
  <c r="C29" i="2"/>
  <c r="C30" i="4" s="1"/>
  <c r="C49" i="2"/>
  <c r="C50" i="4" s="1"/>
  <c r="C69" i="2"/>
  <c r="C70" i="4" s="1"/>
  <c r="C89" i="2"/>
  <c r="C90" i="4" s="1"/>
  <c r="C87" i="2"/>
  <c r="C88" i="4" s="1"/>
  <c r="C57" i="2"/>
  <c r="C58" i="4" s="1"/>
  <c r="F58" i="4" s="1"/>
  <c r="C31" i="2"/>
  <c r="C32" i="4" s="1"/>
  <c r="F33" i="4" s="1"/>
  <c r="C86" i="2"/>
  <c r="C87" i="4" s="1"/>
  <c r="C56" i="2"/>
  <c r="C57" i="4" s="1"/>
  <c r="C30" i="2"/>
  <c r="C31" i="4" s="1"/>
  <c r="D95" i="2"/>
  <c r="D96" i="4" s="1"/>
  <c r="I5" i="5" s="1"/>
  <c r="D75" i="2"/>
  <c r="D76" i="4" s="1"/>
  <c r="D55" i="2"/>
  <c r="D56" i="4" s="1"/>
  <c r="G56" i="4" s="1"/>
  <c r="D35" i="2"/>
  <c r="D36" i="4" s="1"/>
  <c r="D15" i="2"/>
  <c r="D16" i="4" s="1"/>
  <c r="I6" i="5" s="1"/>
  <c r="D94" i="2"/>
  <c r="D95" i="4" s="1"/>
  <c r="D74" i="2"/>
  <c r="D75" i="4" s="1"/>
  <c r="G76" i="4" s="1"/>
  <c r="D54" i="2"/>
  <c r="D55" i="4" s="1"/>
  <c r="D34" i="2"/>
  <c r="D35" i="4" s="1"/>
  <c r="D14" i="2"/>
  <c r="D15" i="4" s="1"/>
  <c r="D93" i="2"/>
  <c r="D94" i="4" s="1"/>
  <c r="G94" i="4" s="1"/>
  <c r="D73" i="2"/>
  <c r="D74" i="4" s="1"/>
  <c r="G74" i="4" s="1"/>
  <c r="D33" i="2"/>
  <c r="D34" i="4" s="1"/>
  <c r="D13" i="2"/>
  <c r="D14" i="4" s="1"/>
  <c r="G14" i="4" s="1"/>
  <c r="D72" i="2"/>
  <c r="D73" i="4" s="1"/>
  <c r="G73" i="4" s="1"/>
  <c r="D32" i="2"/>
  <c r="D33" i="4" s="1"/>
  <c r="G34" i="4" s="1"/>
  <c r="D53" i="2"/>
  <c r="D54" i="4" s="1"/>
  <c r="D92" i="2"/>
  <c r="D93" i="4" s="1"/>
  <c r="D52" i="2"/>
  <c r="D53" i="4" s="1"/>
  <c r="D12" i="2"/>
  <c r="D13" i="4" s="1"/>
  <c r="D91" i="2"/>
  <c r="D92" i="4" s="1"/>
  <c r="G93" i="4" s="1"/>
  <c r="D71" i="2"/>
  <c r="D72" i="4" s="1"/>
  <c r="D51" i="2"/>
  <c r="D52" i="4" s="1"/>
  <c r="G52" i="4" s="1"/>
  <c r="D31" i="2"/>
  <c r="D32" i="4" s="1"/>
  <c r="D11" i="2"/>
  <c r="D12" i="4" s="1"/>
  <c r="D86" i="2"/>
  <c r="D87" i="4" s="1"/>
  <c r="D66" i="2"/>
  <c r="D67" i="4" s="1"/>
  <c r="D46" i="2"/>
  <c r="D47" i="4" s="1"/>
  <c r="D26" i="2"/>
  <c r="D27" i="4" s="1"/>
  <c r="D6" i="2"/>
  <c r="D7" i="4" s="1"/>
  <c r="D105" i="2"/>
  <c r="D106" i="4" s="1"/>
  <c r="D85" i="2"/>
  <c r="D86" i="4" s="1"/>
  <c r="D65" i="2"/>
  <c r="D66" i="4" s="1"/>
  <c r="G67" i="4" s="1"/>
  <c r="D45" i="2"/>
  <c r="D46" i="4" s="1"/>
  <c r="G46" i="4" s="1"/>
  <c r="D25" i="2"/>
  <c r="D26" i="4" s="1"/>
  <c r="D104" i="2"/>
  <c r="D105" i="4" s="1"/>
  <c r="D84" i="2"/>
  <c r="D85" i="4" s="1"/>
  <c r="D64" i="2"/>
  <c r="D65" i="4" s="1"/>
  <c r="D44" i="2"/>
  <c r="D45" i="4" s="1"/>
  <c r="C85" i="2"/>
  <c r="C86" i="4" s="1"/>
  <c r="C55" i="2"/>
  <c r="C56" i="4" s="1"/>
  <c r="C27" i="2"/>
  <c r="C28" i="4" s="1"/>
  <c r="D19" i="2"/>
  <c r="D20" i="4" s="1"/>
  <c r="D49" i="2"/>
  <c r="D50" i="4" s="1"/>
  <c r="G50" i="4" s="1"/>
  <c r="D82" i="2"/>
  <c r="D83" i="4" s="1"/>
  <c r="C84" i="2"/>
  <c r="C85" i="4" s="1"/>
  <c r="C54" i="2"/>
  <c r="C55" i="4" s="1"/>
  <c r="C26" i="2"/>
  <c r="C27" i="4" s="1"/>
  <c r="F28" i="4" s="1"/>
  <c r="D20" i="2"/>
  <c r="D21" i="4" s="1"/>
  <c r="D50" i="2"/>
  <c r="D51" i="4" s="1"/>
  <c r="D83" i="2"/>
  <c r="D84" i="4" s="1"/>
  <c r="C83" i="2"/>
  <c r="C84" i="4" s="1"/>
  <c r="F84" i="4" s="1"/>
  <c r="C53" i="2"/>
  <c r="C54" i="4" s="1"/>
  <c r="F54" i="4" s="1"/>
  <c r="C25" i="2"/>
  <c r="C26" i="4" s="1"/>
  <c r="D21" i="2"/>
  <c r="D22" i="4" s="1"/>
  <c r="D56" i="2"/>
  <c r="D57" i="4" s="1"/>
  <c r="G57" i="4" s="1"/>
  <c r="D87" i="2"/>
  <c r="D88" i="4" s="1"/>
  <c r="C105" i="2"/>
  <c r="C106" i="4" s="1"/>
  <c r="C75" i="2"/>
  <c r="C76" i="4" s="1"/>
  <c r="C47" i="2"/>
  <c r="C48" i="4" s="1"/>
  <c r="C16" i="2"/>
  <c r="C17" i="4" s="1"/>
  <c r="F17" i="4" s="1"/>
  <c r="C104" i="2"/>
  <c r="C105" i="4" s="1"/>
  <c r="C74" i="2"/>
  <c r="C75" i="4" s="1"/>
  <c r="F76" i="4" s="1"/>
  <c r="C46" i="2"/>
  <c r="C47" i="4" s="1"/>
  <c r="G8" i="5"/>
  <c r="C103" i="2"/>
  <c r="C104" i="4" s="1"/>
  <c r="C73" i="2"/>
  <c r="C74" i="4" s="1"/>
  <c r="C45" i="2"/>
  <c r="C46" i="4" s="1"/>
  <c r="C14" i="2"/>
  <c r="C15" i="4" s="1"/>
  <c r="F16" i="4" s="1"/>
  <c r="D29" i="2"/>
  <c r="D30" i="4" s="1"/>
  <c r="G30" i="4" s="1"/>
  <c r="D62" i="2"/>
  <c r="D63" i="4" s="1"/>
  <c r="D98" i="2"/>
  <c r="D99" i="4" s="1"/>
  <c r="C98" i="2"/>
  <c r="C99" i="4" s="1"/>
  <c r="F100" i="4" s="1"/>
  <c r="C72" i="2"/>
  <c r="C73" i="4" s="1"/>
  <c r="F73" i="4" s="1"/>
  <c r="C44" i="2"/>
  <c r="C45" i="4" s="1"/>
  <c r="C13" i="2"/>
  <c r="C14" i="4" s="1"/>
  <c r="D30" i="2"/>
  <c r="D31" i="4" s="1"/>
  <c r="D63" i="2"/>
  <c r="D64" i="4" s="1"/>
  <c r="D99" i="2"/>
  <c r="D100" i="4" s="1"/>
  <c r="C97" i="2"/>
  <c r="C98" i="4" s="1"/>
  <c r="C71" i="2"/>
  <c r="C72" i="4" s="1"/>
  <c r="C43" i="2"/>
  <c r="C44" i="4" s="1"/>
  <c r="C12" i="2"/>
  <c r="C13" i="4" s="1"/>
  <c r="F13" i="4" s="1"/>
  <c r="D36" i="2"/>
  <c r="D37" i="4" s="1"/>
  <c r="G37" i="4" s="1"/>
  <c r="D67" i="2"/>
  <c r="D68" i="4" s="1"/>
  <c r="G69" i="4" s="1"/>
  <c r="D100" i="2"/>
  <c r="D101" i="4" s="1"/>
  <c r="E25" i="2"/>
  <c r="E26" i="4" s="1"/>
  <c r="E45" i="2"/>
  <c r="E46" i="4" s="1"/>
  <c r="H46" i="4" s="1"/>
  <c r="E65" i="2"/>
  <c r="E66" i="4" s="1"/>
  <c r="H66" i="4" s="1"/>
  <c r="E85" i="2"/>
  <c r="E86" i="4" s="1"/>
  <c r="E105" i="2"/>
  <c r="E106" i="4" s="1"/>
  <c r="E6" i="2"/>
  <c r="E7" i="4" s="1"/>
  <c r="H8" i="4" s="1"/>
  <c r="E26" i="2"/>
  <c r="E27" i="4" s="1"/>
  <c r="H28" i="4" s="1"/>
  <c r="E46" i="2"/>
  <c r="E47" i="4" s="1"/>
  <c r="H47" i="4" s="1"/>
  <c r="E66" i="2"/>
  <c r="E67" i="4" s="1"/>
  <c r="E86" i="2"/>
  <c r="E87" i="4" s="1"/>
  <c r="E32" i="2"/>
  <c r="E33" i="4" s="1"/>
  <c r="E72" i="2"/>
  <c r="E73" i="4" s="1"/>
  <c r="E33" i="2"/>
  <c r="E34" i="4" s="1"/>
  <c r="E93" i="2"/>
  <c r="E94" i="4" s="1"/>
  <c r="E12" i="2"/>
  <c r="E13" i="4" s="1"/>
  <c r="H13" i="4" s="1"/>
  <c r="E52" i="2"/>
  <c r="E53" i="4" s="1"/>
  <c r="H53" i="4" s="1"/>
  <c r="E92" i="2"/>
  <c r="E93" i="4" s="1"/>
  <c r="E94" i="2"/>
  <c r="E95" i="4" s="1"/>
  <c r="H96" i="4" s="1"/>
  <c r="D6" i="4"/>
  <c r="I10" i="5" s="1"/>
  <c r="E13" i="2"/>
  <c r="E14" i="4" s="1"/>
  <c r="E53" i="2"/>
  <c r="E54" i="4" s="1"/>
  <c r="E73" i="2"/>
  <c r="E74" i="4" s="1"/>
  <c r="E14" i="2"/>
  <c r="E15" i="4" s="1"/>
  <c r="E34" i="2"/>
  <c r="E35" i="4" s="1"/>
  <c r="H35" i="4" s="1"/>
  <c r="E54" i="2"/>
  <c r="E55" i="4" s="1"/>
  <c r="E74" i="2"/>
  <c r="E75" i="4" s="1"/>
  <c r="H75" i="4" s="1"/>
  <c r="E15" i="2"/>
  <c r="E16" i="4" s="1"/>
  <c r="J6" i="5" s="1"/>
  <c r="E35" i="2"/>
  <c r="E36" i="4" s="1"/>
  <c r="H37" i="4" s="1"/>
  <c r="E55" i="2"/>
  <c r="E56" i="4" s="1"/>
  <c r="H56" i="4" s="1"/>
  <c r="E75" i="2"/>
  <c r="E76" i="4" s="1"/>
  <c r="H77" i="4" s="1"/>
  <c r="E6" i="4"/>
  <c r="J10" i="5" s="1"/>
  <c r="G6" i="5"/>
  <c r="D6" i="5"/>
  <c r="D7" i="5"/>
  <c r="D8" i="5"/>
  <c r="E6" i="5"/>
  <c r="G9" i="5"/>
  <c r="F8" i="5"/>
  <c r="G7" i="5"/>
  <c r="E8" i="5"/>
  <c r="E7" i="5"/>
  <c r="G5" i="5"/>
  <c r="F5" i="5"/>
  <c r="F9" i="5"/>
  <c r="D9" i="5"/>
  <c r="H103" i="4"/>
  <c r="H19" i="4"/>
  <c r="F57" i="4"/>
  <c r="H59" i="4"/>
  <c r="F92" i="4"/>
  <c r="G20" i="4"/>
  <c r="H81" i="4"/>
  <c r="F12" i="4"/>
  <c r="G9" i="4"/>
  <c r="H23" i="4"/>
  <c r="F61" i="4"/>
  <c r="G42" i="4"/>
  <c r="H71" i="4"/>
  <c r="F93" i="4"/>
  <c r="G26" i="4"/>
  <c r="H20" i="4"/>
  <c r="F34" i="4"/>
  <c r="G82" i="4"/>
  <c r="G98" i="4"/>
  <c r="H26" i="4"/>
  <c r="H42" i="4"/>
  <c r="G77" i="4"/>
  <c r="F88" i="4"/>
  <c r="H90" i="4"/>
  <c r="F96" i="4"/>
  <c r="H98" i="4"/>
  <c r="H106" i="4"/>
  <c r="H52" i="4"/>
  <c r="H84" i="4"/>
  <c r="G8" i="4"/>
  <c r="H21" i="4"/>
  <c r="H29" i="4"/>
  <c r="F35" i="4"/>
  <c r="G64" i="4"/>
  <c r="G104" i="4"/>
  <c r="G87" i="4"/>
  <c r="H63" i="4"/>
  <c r="G19" i="4"/>
  <c r="H24" i="4"/>
  <c r="F38" i="4"/>
  <c r="G43" i="4"/>
  <c r="G59" i="4"/>
  <c r="H64" i="4"/>
  <c r="H80" i="4"/>
  <c r="G91" i="4"/>
  <c r="F83" i="4"/>
  <c r="H62" i="4"/>
  <c r="H86" i="4"/>
  <c r="H65" i="4"/>
  <c r="F95" i="4"/>
  <c r="G65" i="4"/>
  <c r="F63" i="4"/>
  <c r="F65" i="4"/>
  <c r="F97" i="4"/>
  <c r="G12" i="4"/>
  <c r="G92" i="4"/>
  <c r="F46" i="4" l="1"/>
  <c r="H95" i="4"/>
  <c r="H43" i="4"/>
  <c r="H100" i="4"/>
  <c r="G53" i="4"/>
  <c r="G35" i="4"/>
  <c r="I35" i="4" s="1"/>
  <c r="M35" i="4" s="1"/>
  <c r="F55" i="4"/>
  <c r="F50" i="4"/>
  <c r="G11" i="4"/>
  <c r="G45" i="4"/>
  <c r="H102" i="4"/>
  <c r="H14" i="4"/>
  <c r="F104" i="4"/>
  <c r="F85" i="4"/>
  <c r="I85" i="4" s="1"/>
  <c r="M85" i="4" s="1"/>
  <c r="G95" i="4"/>
  <c r="I95" i="4" s="1"/>
  <c r="M95" i="4" s="1"/>
  <c r="F29" i="4"/>
  <c r="F60" i="4"/>
  <c r="I60" i="4" s="1"/>
  <c r="M60" i="4" s="1"/>
  <c r="F78" i="4"/>
  <c r="I78" i="4" s="1"/>
  <c r="M78" i="4" s="1"/>
  <c r="H39" i="4"/>
  <c r="F19" i="4"/>
  <c r="I19" i="4" s="1"/>
  <c r="M19" i="4" s="1"/>
  <c r="F94" i="4"/>
  <c r="G29" i="4"/>
  <c r="H72" i="4"/>
  <c r="H58" i="4"/>
  <c r="F11" i="4"/>
  <c r="H49" i="4"/>
  <c r="H45" i="4"/>
  <c r="G49" i="4"/>
  <c r="G51" i="4"/>
  <c r="G66" i="4"/>
  <c r="G41" i="4"/>
  <c r="F37" i="4"/>
  <c r="I37" i="4" s="1"/>
  <c r="M37" i="4" s="1"/>
  <c r="H33" i="4"/>
  <c r="I33" i="4" s="1"/>
  <c r="M33" i="4" s="1"/>
  <c r="G31" i="4"/>
  <c r="G88" i="4"/>
  <c r="I88" i="4" s="1"/>
  <c r="M88" i="4" s="1"/>
  <c r="G85" i="4"/>
  <c r="G54" i="4"/>
  <c r="F42" i="4"/>
  <c r="I42" i="4" s="1"/>
  <c r="M42" i="4" s="1"/>
  <c r="F39" i="4"/>
  <c r="G17" i="4"/>
  <c r="G103" i="4"/>
  <c r="H89" i="4"/>
  <c r="G38" i="4"/>
  <c r="H104" i="4"/>
  <c r="H51" i="4"/>
  <c r="G10" i="4"/>
  <c r="H88" i="4"/>
  <c r="G55" i="4"/>
  <c r="H105" i="4"/>
  <c r="G39" i="4"/>
  <c r="H79" i="4"/>
  <c r="F56" i="4"/>
  <c r="I56" i="4" s="1"/>
  <c r="M56" i="4" s="1"/>
  <c r="F26" i="4"/>
  <c r="F90" i="4"/>
  <c r="I90" i="4" s="1"/>
  <c r="M90" i="4" s="1"/>
  <c r="F23" i="4"/>
  <c r="G61" i="4"/>
  <c r="I61" i="4" s="1"/>
  <c r="M61" i="4" s="1"/>
  <c r="G24" i="4"/>
  <c r="G99" i="4"/>
  <c r="G44" i="4"/>
  <c r="H50" i="4"/>
  <c r="I50" i="4" s="1"/>
  <c r="M50" i="4" s="1"/>
  <c r="G106" i="4"/>
  <c r="F30" i="4"/>
  <c r="H41" i="4"/>
  <c r="G86" i="4"/>
  <c r="H87" i="4"/>
  <c r="H70" i="4"/>
  <c r="G80" i="4"/>
  <c r="H31" i="4"/>
  <c r="G7" i="4"/>
  <c r="F10" i="4"/>
  <c r="H11" i="4"/>
  <c r="I11" i="4" s="1"/>
  <c r="M11" i="4" s="1"/>
  <c r="G21" i="4"/>
  <c r="G28" i="4"/>
  <c r="I28" i="4" s="1"/>
  <c r="M28" i="4" s="1"/>
  <c r="F81" i="4"/>
  <c r="F75" i="4"/>
  <c r="I75" i="4" s="1"/>
  <c r="M75" i="4" s="1"/>
  <c r="F40" i="4"/>
  <c r="I40" i="4" s="1"/>
  <c r="M40" i="4" s="1"/>
  <c r="H60" i="4"/>
  <c r="H74" i="4"/>
  <c r="F27" i="4"/>
  <c r="F101" i="4"/>
  <c r="I101" i="4" s="1"/>
  <c r="M101" i="4" s="1"/>
  <c r="G102" i="4"/>
  <c r="G84" i="4"/>
  <c r="F41" i="4"/>
  <c r="G33" i="4"/>
  <c r="F25" i="4"/>
  <c r="I25" i="4" s="1"/>
  <c r="M25" i="4" s="1"/>
  <c r="H93" i="4"/>
  <c r="I93" i="4" s="1"/>
  <c r="M93" i="4" s="1"/>
  <c r="F103" i="4"/>
  <c r="I103" i="4" s="1"/>
  <c r="M103" i="4" s="1"/>
  <c r="F45" i="4"/>
  <c r="G58" i="4"/>
  <c r="G72" i="4"/>
  <c r="F72" i="4"/>
  <c r="I72" i="4" s="1"/>
  <c r="M72" i="4" s="1"/>
  <c r="F105" i="4"/>
  <c r="I105" i="4" s="1"/>
  <c r="M105" i="4" s="1"/>
  <c r="F43" i="4"/>
  <c r="H94" i="4"/>
  <c r="F98" i="4"/>
  <c r="I98" i="4" s="1"/>
  <c r="M98" i="4" s="1"/>
  <c r="F87" i="4"/>
  <c r="G13" i="4"/>
  <c r="I13" i="4" s="1"/>
  <c r="M13" i="4" s="1"/>
  <c r="F31" i="4"/>
  <c r="I31" i="4" s="1"/>
  <c r="M31" i="4" s="1"/>
  <c r="F68" i="4"/>
  <c r="F82" i="4"/>
  <c r="I82" i="4" s="1"/>
  <c r="F79" i="4"/>
  <c r="H82" i="4"/>
  <c r="G71" i="4"/>
  <c r="G75" i="4"/>
  <c r="H34" i="4"/>
  <c r="I34" i="4" s="1"/>
  <c r="M34" i="4" s="1"/>
  <c r="G100" i="4"/>
  <c r="I100" i="4" s="1"/>
  <c r="M100" i="4" s="1"/>
  <c r="H10" i="4"/>
  <c r="H101" i="4"/>
  <c r="G47" i="4"/>
  <c r="G27" i="4"/>
  <c r="F91" i="4"/>
  <c r="H92" i="4"/>
  <c r="F7" i="4"/>
  <c r="H12" i="4"/>
  <c r="I12" i="4" s="1"/>
  <c r="M12" i="4" s="1"/>
  <c r="F86" i="4"/>
  <c r="I86" i="4" s="1"/>
  <c r="M86" i="4" s="1"/>
  <c r="F32" i="4"/>
  <c r="I32" i="4" s="1"/>
  <c r="M32" i="4" s="1"/>
  <c r="H76" i="4"/>
  <c r="I76" i="4" s="1"/>
  <c r="M76" i="4" s="1"/>
  <c r="G105" i="4"/>
  <c r="F71" i="4"/>
  <c r="G23" i="4"/>
  <c r="F49" i="4"/>
  <c r="G68" i="4"/>
  <c r="G83" i="4"/>
  <c r="I83" i="4" s="1"/>
  <c r="M83" i="4" s="1"/>
  <c r="F22" i="4"/>
  <c r="F15" i="4"/>
  <c r="F14" i="4"/>
  <c r="I14" i="4" s="1"/>
  <c r="M14" i="4" s="1"/>
  <c r="G16" i="4"/>
  <c r="G22" i="4"/>
  <c r="H9" i="4"/>
  <c r="I9" i="4" s="1"/>
  <c r="M9" i="4" s="1"/>
  <c r="H27" i="4"/>
  <c r="F99" i="4"/>
  <c r="I99" i="4" s="1"/>
  <c r="M99" i="4" s="1"/>
  <c r="F70" i="4"/>
  <c r="F51" i="4"/>
  <c r="F44" i="4"/>
  <c r="H55" i="4"/>
  <c r="I55" i="4" s="1"/>
  <c r="M55" i="4" s="1"/>
  <c r="G63" i="4"/>
  <c r="I63" i="4" s="1"/>
  <c r="M63" i="4" s="1"/>
  <c r="F62" i="4"/>
  <c r="H91" i="4"/>
  <c r="H15" i="4"/>
  <c r="G101" i="4"/>
  <c r="F47" i="4"/>
  <c r="G36" i="4"/>
  <c r="F21" i="4"/>
  <c r="H54" i="4"/>
  <c r="F74" i="4"/>
  <c r="H36" i="4"/>
  <c r="G32" i="4"/>
  <c r="F106" i="4"/>
  <c r="I106" i="4" s="1"/>
  <c r="M106" i="4" s="1"/>
  <c r="H48" i="4"/>
  <c r="F48" i="4"/>
  <c r="I48" i="4" s="1"/>
  <c r="M48" i="4" s="1"/>
  <c r="F20" i="4"/>
  <c r="I20" i="4" s="1"/>
  <c r="M20" i="4" s="1"/>
  <c r="H67" i="4"/>
  <c r="I67" i="4" s="1"/>
  <c r="M67" i="4" s="1"/>
  <c r="G89" i="4"/>
  <c r="I89" i="4" s="1"/>
  <c r="M89" i="4" s="1"/>
  <c r="F18" i="4"/>
  <c r="I18" i="4" s="1"/>
  <c r="M18" i="4" s="1"/>
  <c r="F24" i="4"/>
  <c r="I24" i="4" s="1"/>
  <c r="M24" i="4" s="1"/>
  <c r="G15" i="4"/>
  <c r="H7" i="4"/>
  <c r="I7" i="4" s="1"/>
  <c r="M7" i="4" s="1"/>
  <c r="G97" i="4"/>
  <c r="I97" i="4" s="1"/>
  <c r="M97" i="4" s="1"/>
  <c r="H16" i="4"/>
  <c r="G96" i="4"/>
  <c r="I96" i="4" s="1"/>
  <c r="H17" i="4"/>
  <c r="I77" i="4"/>
  <c r="M77" i="4" s="1"/>
  <c r="I59" i="4"/>
  <c r="M59" i="4" s="1"/>
  <c r="I73" i="4"/>
  <c r="M73" i="4" s="1"/>
  <c r="M13" i="5"/>
  <c r="M12" i="5"/>
  <c r="M11" i="5"/>
  <c r="I57" i="4"/>
  <c r="M57" i="4" s="1"/>
  <c r="I66" i="4"/>
  <c r="M66" i="4" s="1"/>
  <c r="I45" i="4"/>
  <c r="M45" i="4" s="1"/>
  <c r="I92" i="4"/>
  <c r="M92" i="4" s="1"/>
  <c r="I81" i="4"/>
  <c r="M81" i="4" s="1"/>
  <c r="I29" i="4"/>
  <c r="M29" i="4" s="1"/>
  <c r="I39" i="4"/>
  <c r="M39" i="4" s="1"/>
  <c r="I65" i="4"/>
  <c r="M65" i="4" s="1"/>
  <c r="I84" i="4"/>
  <c r="M84" i="4" s="1"/>
  <c r="I30" i="4"/>
  <c r="M30" i="4" s="1"/>
  <c r="I102" i="4"/>
  <c r="M102" i="4" s="1"/>
  <c r="I52" i="4"/>
  <c r="M52" i="4" s="1"/>
  <c r="I58" i="4"/>
  <c r="M58" i="4" s="1"/>
  <c r="I69" i="4"/>
  <c r="M69" i="4" s="1"/>
  <c r="I46" i="4"/>
  <c r="M46" i="4" s="1"/>
  <c r="I94" i="4"/>
  <c r="M94" i="4" s="1"/>
  <c r="I38" i="4"/>
  <c r="M38" i="4" s="1"/>
  <c r="I43" i="4"/>
  <c r="M43" i="4" s="1"/>
  <c r="I91" i="4"/>
  <c r="I8" i="4"/>
  <c r="M8" i="4" s="1"/>
  <c r="I53" i="4"/>
  <c r="M53" i="4" s="1"/>
  <c r="I64" i="4"/>
  <c r="M64" i="4" s="1"/>
  <c r="I104" i="4"/>
  <c r="M104" i="4" s="1"/>
  <c r="I80" i="4"/>
  <c r="M80" i="4" s="1"/>
  <c r="I26" i="4"/>
  <c r="M26" i="4" s="1"/>
  <c r="I62" i="4"/>
  <c r="M62" i="4" s="1"/>
  <c r="I74" i="4"/>
  <c r="M74" i="4" s="1"/>
  <c r="I51" i="4"/>
  <c r="M51" i="4" s="1"/>
  <c r="I44" i="4" l="1"/>
  <c r="M44" i="4" s="1"/>
  <c r="I15" i="4"/>
  <c r="M15" i="4" s="1"/>
  <c r="I87" i="4"/>
  <c r="M87" i="4" s="1"/>
  <c r="I21" i="4"/>
  <c r="M21" i="4" s="1"/>
  <c r="I22" i="4"/>
  <c r="M22" i="4" s="1"/>
  <c r="I54" i="4"/>
  <c r="M54" i="4" s="1"/>
  <c r="I47" i="4"/>
  <c r="M47" i="4" s="1"/>
  <c r="I10" i="4"/>
  <c r="M10" i="4" s="1"/>
  <c r="I17" i="4"/>
  <c r="M17" i="4" s="1"/>
  <c r="I36" i="4"/>
  <c r="M36" i="4" s="1"/>
  <c r="I68" i="4"/>
  <c r="M68" i="4" s="1"/>
  <c r="I49" i="4"/>
  <c r="M49" i="4" s="1"/>
  <c r="I79" i="4"/>
  <c r="M79" i="4" s="1"/>
  <c r="I23" i="4"/>
  <c r="M23" i="4" s="1"/>
  <c r="I71" i="4"/>
  <c r="M71" i="4" s="1"/>
  <c r="I41" i="4"/>
  <c r="M41" i="4" s="1"/>
  <c r="I70" i="4"/>
  <c r="M70" i="4" s="1"/>
  <c r="I27" i="4"/>
  <c r="M27" i="4" s="1"/>
  <c r="I16" i="4"/>
  <c r="M16" i="4"/>
  <c r="H6" i="5"/>
  <c r="M96" i="4"/>
  <c r="H5" i="5"/>
  <c r="M91" i="4"/>
  <c r="H9" i="5"/>
  <c r="M82" i="4"/>
  <c r="H8" i="5"/>
  <c r="H7" i="5" l="1"/>
</calcChain>
</file>

<file path=xl/sharedStrings.xml><?xml version="1.0" encoding="utf-8"?>
<sst xmlns="http://schemas.openxmlformats.org/spreadsheetml/2006/main" count="72" uniqueCount="53">
  <si>
    <t>Client_ID</t>
  </si>
  <si>
    <t>Age</t>
  </si>
  <si>
    <t>Annual_Income_k$</t>
  </si>
  <si>
    <t>Spending_Score</t>
  </si>
  <si>
    <t>Distance_to_New</t>
  </si>
  <si>
    <t>Distance</t>
  </si>
  <si>
    <t>mean</t>
  </si>
  <si>
    <t>sd</t>
  </si>
  <si>
    <t>z1 - z'1</t>
  </si>
  <si>
    <t>z2 - z'2</t>
  </si>
  <si>
    <t>z3 - z'3</t>
  </si>
  <si>
    <t>Label</t>
  </si>
  <si>
    <t>Class</t>
  </si>
  <si>
    <t>ID</t>
  </si>
  <si>
    <t>Low Value</t>
  </si>
  <si>
    <t>Standard</t>
  </si>
  <si>
    <t>Premium</t>
  </si>
  <si>
    <t>Annual Income</t>
  </si>
  <si>
    <t>Spending</t>
  </si>
  <si>
    <t>Distancia Euclidiana</t>
  </si>
  <si>
    <t>Paso 1: Datos de entrada antes de la estandarización.</t>
  </si>
  <si>
    <t>Esta hoja muestra los datos originales de los clientes.</t>
  </si>
  <si>
    <t>Incluye edad, ingresos anuales en miles y puntaje de gasto.</t>
  </si>
  <si>
    <t>Client_ID es un identificador único para cada cliente.</t>
  </si>
  <si>
    <t>Los datos se usarán para calcular la distancia a un cliente nuevo.</t>
  </si>
  <si>
    <t>Paso 2: Datos de entrada normalizados.</t>
  </si>
  <si>
    <t>Esta hoja muestra los datos estandarizados de los clientes.</t>
  </si>
  <si>
    <t>La estandarización asegura el mismo peso para todas las características.</t>
  </si>
  <si>
    <t>Cada característica se transforma para tener media 0 y desviación estándar 1.</t>
  </si>
  <si>
    <t>Esto es esencial para cálculos de distancia precisos.</t>
  </si>
  <si>
    <t>Original - media</t>
  </si>
  <si>
    <t>desviación estándar</t>
  </si>
  <si>
    <t>Paso 3: Cliente de entrada que se va a clasificar.</t>
  </si>
  <si>
    <t>Esta hoja muestra el cliente nuevo que se va a clasificar.</t>
  </si>
  <si>
    <t>Incluye edad, ingresos y puntaje de gasto.</t>
  </si>
  <si>
    <t>Se usa para calcular las distancias a todos los clientes existentes.</t>
  </si>
  <si>
    <t>Se estandariza usando el mismo escalador que el conjunto de datos.</t>
  </si>
  <si>
    <t>Ranking de distancias</t>
  </si>
  <si>
    <t>Paso 4: Calcular la distancia al cliente nuevo.</t>
  </si>
  <si>
    <t>Esta hoja muestra la distancia de cada cliente al cliente nuevo.</t>
  </si>
  <si>
    <t>La distancia se calcula usando la fórmula euclidiana.</t>
  </si>
  <si>
    <t>Una distancia menor significa mayor similitud.</t>
  </si>
  <si>
    <t>Estos valores determinarán los vecinos más cercanos.</t>
  </si>
  <si>
    <t>Paso 5: Seleccionar vecinos para la clasificación.</t>
  </si>
  <si>
    <t>Esta hoja muestra los k=5 vecinos más cercanos.</t>
  </si>
  <si>
    <t>Estos son los clientes más similares al cliente nuevo.</t>
  </si>
  <si>
    <t>Se usa para predecir o clasificar el cliente nuevo.</t>
  </si>
  <si>
    <t>Seleccionados según la menor distancia euclidiana.</t>
  </si>
  <si>
    <t>Voto mayoritario</t>
  </si>
  <si>
    <t>Nuevo Cliente</t>
  </si>
  <si>
    <t>Calculo Distancias del Nuevo Punto a los demás</t>
  </si>
  <si>
    <t>Ranking</t>
  </si>
  <si>
    <t>Escojo las top 5 distancias más cercanas para definir la clasificación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</si>
</sst>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0" fillId="3" borderId="0" xfId="0" applyFill="1"/>
    <xf numFmtId="0" fontId="1" fillId="2" borderId="0" xfId="0" applyFont="1" applyFill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0" borderId="0" xfId="0" applyFont="1" applyAlignment="1">
      <alignment horizontal="left" vertical="top"/>
    </xf>
    <xf numFmtId="0" fontId="0" fillId="5" borderId="0" xfId="0" applyFill="1"/>
    <xf numFmtId="0" fontId="0" fillId="6" borderId="0" xfId="0" applyFill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7" borderId="8" xfId="0" applyFont="1" applyFill="1" applyBorder="1"/>
    <xf numFmtId="0" fontId="0" fillId="7" borderId="9" xfId="0" applyFill="1" applyBorder="1"/>
    <xf numFmtId="0" fontId="0" fillId="7" borderId="10" xfId="0" applyFill="1" applyBorder="1"/>
    <xf numFmtId="0" fontId="1" fillId="7" borderId="1" xfId="0" applyFont="1" applyFill="1" applyBorder="1" applyAlignment="1">
      <alignment horizontal="center" vertical="top"/>
    </xf>
    <xf numFmtId="0" fontId="1" fillId="7" borderId="0" xfId="0" applyFont="1" applyFill="1"/>
    <xf numFmtId="0" fontId="0" fillId="7" borderId="0" xfId="0" applyFill="1"/>
    <xf numFmtId="0" fontId="0" fillId="7" borderId="8" xfId="0" applyFill="1" applyBorder="1"/>
    <xf numFmtId="0" fontId="0" fillId="0" borderId="0" xfId="0" applyFill="1"/>
    <xf numFmtId="0" fontId="0" fillId="0" borderId="0" xfId="0" applyFill="1" applyBorder="1"/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166" fontId="0" fillId="3" borderId="0" xfId="0" applyNumberFormat="1" applyFill="1"/>
    <xf numFmtId="166" fontId="0" fillId="0" borderId="0" xfId="0" applyNumberFormat="1"/>
    <xf numFmtId="166" fontId="0" fillId="5" borderId="0" xfId="0" applyNumberFormat="1" applyFill="1"/>
    <xf numFmtId="166" fontId="0" fillId="7" borderId="0" xfId="0" applyNumberFormat="1" applyFill="1"/>
    <xf numFmtId="165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Training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'01 - Original Data'!$D$2</c:f>
              <c:strCache>
                <c:ptCount val="1"/>
                <c:pt idx="0">
                  <c:v>Spending_Score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'01 - Original Data'!$D$3:$D$102</c:f>
              <c:numCache>
                <c:formatCode>General</c:formatCode>
                <c:ptCount val="100"/>
                <c:pt idx="0">
                  <c:v>24</c:v>
                </c:pt>
                <c:pt idx="1">
                  <c:v>79</c:v>
                </c:pt>
                <c:pt idx="2">
                  <c:v>59</c:v>
                </c:pt>
                <c:pt idx="3">
                  <c:v>32</c:v>
                </c:pt>
                <c:pt idx="4">
                  <c:v>96</c:v>
                </c:pt>
                <c:pt idx="5">
                  <c:v>88</c:v>
                </c:pt>
                <c:pt idx="6">
                  <c:v>52</c:v>
                </c:pt>
                <c:pt idx="7">
                  <c:v>62</c:v>
                </c:pt>
                <c:pt idx="8">
                  <c:v>58</c:v>
                </c:pt>
                <c:pt idx="9">
                  <c:v>52</c:v>
                </c:pt>
                <c:pt idx="10">
                  <c:v>12</c:v>
                </c:pt>
                <c:pt idx="11">
                  <c:v>39</c:v>
                </c:pt>
                <c:pt idx="12">
                  <c:v>2</c:v>
                </c:pt>
                <c:pt idx="13">
                  <c:v>3</c:v>
                </c:pt>
                <c:pt idx="14">
                  <c:v>56</c:v>
                </c:pt>
                <c:pt idx="15">
                  <c:v>81</c:v>
                </c:pt>
                <c:pt idx="16">
                  <c:v>59</c:v>
                </c:pt>
                <c:pt idx="17">
                  <c:v>2</c:v>
                </c:pt>
                <c:pt idx="18">
                  <c:v>2</c:v>
                </c:pt>
                <c:pt idx="19">
                  <c:v>92</c:v>
                </c:pt>
                <c:pt idx="20">
                  <c:v>54</c:v>
                </c:pt>
                <c:pt idx="21">
                  <c:v>87</c:v>
                </c:pt>
                <c:pt idx="22">
                  <c:v>96</c:v>
                </c:pt>
                <c:pt idx="23">
                  <c:v>97</c:v>
                </c:pt>
                <c:pt idx="24">
                  <c:v>1</c:v>
                </c:pt>
                <c:pt idx="25">
                  <c:v>19</c:v>
                </c:pt>
                <c:pt idx="26">
                  <c:v>2</c:v>
                </c:pt>
                <c:pt idx="27">
                  <c:v>53</c:v>
                </c:pt>
                <c:pt idx="28">
                  <c:v>44</c:v>
                </c:pt>
                <c:pt idx="29">
                  <c:v>90</c:v>
                </c:pt>
                <c:pt idx="30">
                  <c:v>32</c:v>
                </c:pt>
                <c:pt idx="31">
                  <c:v>70</c:v>
                </c:pt>
                <c:pt idx="32">
                  <c:v>32</c:v>
                </c:pt>
                <c:pt idx="33">
                  <c:v>68</c:v>
                </c:pt>
                <c:pt idx="34">
                  <c:v>55</c:v>
                </c:pt>
                <c:pt idx="35">
                  <c:v>75</c:v>
                </c:pt>
                <c:pt idx="36">
                  <c:v>56</c:v>
                </c:pt>
                <c:pt idx="37">
                  <c:v>17</c:v>
                </c:pt>
                <c:pt idx="38">
                  <c:v>38</c:v>
                </c:pt>
                <c:pt idx="39">
                  <c:v>24</c:v>
                </c:pt>
                <c:pt idx="40">
                  <c:v>69</c:v>
                </c:pt>
                <c:pt idx="41">
                  <c:v>98</c:v>
                </c:pt>
                <c:pt idx="42">
                  <c:v>70</c:v>
                </c:pt>
                <c:pt idx="43">
                  <c:v>86</c:v>
                </c:pt>
                <c:pt idx="44">
                  <c:v>11</c:v>
                </c:pt>
                <c:pt idx="45">
                  <c:v>16</c:v>
                </c:pt>
                <c:pt idx="46">
                  <c:v>97</c:v>
                </c:pt>
                <c:pt idx="47">
                  <c:v>73</c:v>
                </c:pt>
                <c:pt idx="48">
                  <c:v>59</c:v>
                </c:pt>
                <c:pt idx="49">
                  <c:v>70</c:v>
                </c:pt>
                <c:pt idx="50">
                  <c:v>80</c:v>
                </c:pt>
                <c:pt idx="51">
                  <c:v>93</c:v>
                </c:pt>
                <c:pt idx="52">
                  <c:v>3</c:v>
                </c:pt>
                <c:pt idx="53">
                  <c:v>20</c:v>
                </c:pt>
                <c:pt idx="54">
                  <c:v>59</c:v>
                </c:pt>
                <c:pt idx="55">
                  <c:v>36</c:v>
                </c:pt>
                <c:pt idx="56">
                  <c:v>19</c:v>
                </c:pt>
                <c:pt idx="57">
                  <c:v>90</c:v>
                </c:pt>
                <c:pt idx="58">
                  <c:v>67</c:v>
                </c:pt>
                <c:pt idx="59">
                  <c:v>19</c:v>
                </c:pt>
                <c:pt idx="60">
                  <c:v>20</c:v>
                </c:pt>
                <c:pt idx="61">
                  <c:v>96</c:v>
                </c:pt>
                <c:pt idx="62">
                  <c:v>71</c:v>
                </c:pt>
                <c:pt idx="63">
                  <c:v>52</c:v>
                </c:pt>
                <c:pt idx="64">
                  <c:v>33</c:v>
                </c:pt>
                <c:pt idx="65">
                  <c:v>40</c:v>
                </c:pt>
                <c:pt idx="66">
                  <c:v>39</c:v>
                </c:pt>
                <c:pt idx="67">
                  <c:v>82</c:v>
                </c:pt>
                <c:pt idx="68">
                  <c:v>1</c:v>
                </c:pt>
                <c:pt idx="69">
                  <c:v>11</c:v>
                </c:pt>
                <c:pt idx="70">
                  <c:v>92</c:v>
                </c:pt>
                <c:pt idx="71">
                  <c:v>57</c:v>
                </c:pt>
                <c:pt idx="72">
                  <c:v>89</c:v>
                </c:pt>
                <c:pt idx="73">
                  <c:v>50</c:v>
                </c:pt>
                <c:pt idx="74">
                  <c:v>23</c:v>
                </c:pt>
                <c:pt idx="75">
                  <c:v>31</c:v>
                </c:pt>
                <c:pt idx="76">
                  <c:v>94</c:v>
                </c:pt>
                <c:pt idx="77">
                  <c:v>42</c:v>
                </c:pt>
                <c:pt idx="78">
                  <c:v>99</c:v>
                </c:pt>
                <c:pt idx="79">
                  <c:v>7</c:v>
                </c:pt>
                <c:pt idx="80">
                  <c:v>16</c:v>
                </c:pt>
                <c:pt idx="81">
                  <c:v>90</c:v>
                </c:pt>
                <c:pt idx="82">
                  <c:v>60</c:v>
                </c:pt>
                <c:pt idx="83">
                  <c:v>2</c:v>
                </c:pt>
                <c:pt idx="84">
                  <c:v>1</c:v>
                </c:pt>
                <c:pt idx="85">
                  <c:v>48</c:v>
                </c:pt>
                <c:pt idx="86">
                  <c:v>12</c:v>
                </c:pt>
                <c:pt idx="87">
                  <c:v>69</c:v>
                </c:pt>
                <c:pt idx="88">
                  <c:v>37</c:v>
                </c:pt>
                <c:pt idx="89">
                  <c:v>32</c:v>
                </c:pt>
                <c:pt idx="90">
                  <c:v>9</c:v>
                </c:pt>
                <c:pt idx="91">
                  <c:v>99</c:v>
                </c:pt>
                <c:pt idx="92">
                  <c:v>19</c:v>
                </c:pt>
                <c:pt idx="93">
                  <c:v>48</c:v>
                </c:pt>
                <c:pt idx="94">
                  <c:v>80</c:v>
                </c:pt>
                <c:pt idx="95">
                  <c:v>3</c:v>
                </c:pt>
                <c:pt idx="96">
                  <c:v>20</c:v>
                </c:pt>
                <c:pt idx="97">
                  <c:v>24</c:v>
                </c:pt>
                <c:pt idx="98">
                  <c:v>54</c:v>
                </c:pt>
                <c:pt idx="99">
                  <c:v>33</c:v>
                </c:pt>
              </c:numCache>
            </c:numRef>
          </c:xVal>
          <c:yVal>
            <c:numRef>
              <c:f>'01 - Original Data'!$C$3:$C$102</c:f>
              <c:numCache>
                <c:formatCode>General</c:formatCode>
                <c:ptCount val="100"/>
                <c:pt idx="0">
                  <c:v>64</c:v>
                </c:pt>
                <c:pt idx="1">
                  <c:v>84</c:v>
                </c:pt>
                <c:pt idx="2">
                  <c:v>108</c:v>
                </c:pt>
                <c:pt idx="3">
                  <c:v>90</c:v>
                </c:pt>
                <c:pt idx="4">
                  <c:v>28</c:v>
                </c:pt>
                <c:pt idx="5">
                  <c:v>107</c:v>
                </c:pt>
                <c:pt idx="6">
                  <c:v>20</c:v>
                </c:pt>
                <c:pt idx="7">
                  <c:v>27</c:v>
                </c:pt>
                <c:pt idx="8">
                  <c:v>107</c:v>
                </c:pt>
                <c:pt idx="9">
                  <c:v>82</c:v>
                </c:pt>
                <c:pt idx="10">
                  <c:v>30</c:v>
                </c:pt>
                <c:pt idx="11">
                  <c:v>100</c:v>
                </c:pt>
                <c:pt idx="12">
                  <c:v>27</c:v>
                </c:pt>
                <c:pt idx="13">
                  <c:v>54</c:v>
                </c:pt>
                <c:pt idx="14">
                  <c:v>54</c:v>
                </c:pt>
                <c:pt idx="15">
                  <c:v>52</c:v>
                </c:pt>
                <c:pt idx="16">
                  <c:v>24</c:v>
                </c:pt>
                <c:pt idx="17">
                  <c:v>60</c:v>
                </c:pt>
                <c:pt idx="18">
                  <c:v>47</c:v>
                </c:pt>
                <c:pt idx="19">
                  <c:v>26</c:v>
                </c:pt>
                <c:pt idx="20">
                  <c:v>92</c:v>
                </c:pt>
                <c:pt idx="21">
                  <c:v>91</c:v>
                </c:pt>
                <c:pt idx="22">
                  <c:v>31</c:v>
                </c:pt>
                <c:pt idx="23">
                  <c:v>53</c:v>
                </c:pt>
                <c:pt idx="24">
                  <c:v>52</c:v>
                </c:pt>
                <c:pt idx="25">
                  <c:v>67</c:v>
                </c:pt>
                <c:pt idx="26">
                  <c:v>42</c:v>
                </c:pt>
                <c:pt idx="27">
                  <c:v>81</c:v>
                </c:pt>
                <c:pt idx="28">
                  <c:v>107</c:v>
                </c:pt>
                <c:pt idx="29">
                  <c:v>56</c:v>
                </c:pt>
                <c:pt idx="30">
                  <c:v>118</c:v>
                </c:pt>
                <c:pt idx="31">
                  <c:v>63</c:v>
                </c:pt>
                <c:pt idx="32">
                  <c:v>105</c:v>
                </c:pt>
                <c:pt idx="33">
                  <c:v>110</c:v>
                </c:pt>
                <c:pt idx="34">
                  <c:v>54</c:v>
                </c:pt>
                <c:pt idx="35">
                  <c:v>84</c:v>
                </c:pt>
                <c:pt idx="36">
                  <c:v>118</c:v>
                </c:pt>
                <c:pt idx="37">
                  <c:v>66</c:v>
                </c:pt>
                <c:pt idx="38">
                  <c:v>97</c:v>
                </c:pt>
                <c:pt idx="39">
                  <c:v>22</c:v>
                </c:pt>
                <c:pt idx="40">
                  <c:v>20</c:v>
                </c:pt>
                <c:pt idx="41">
                  <c:v>24</c:v>
                </c:pt>
                <c:pt idx="42">
                  <c:v>109</c:v>
                </c:pt>
                <c:pt idx="43">
                  <c:v>33</c:v>
                </c:pt>
                <c:pt idx="44">
                  <c:v>46</c:v>
                </c:pt>
                <c:pt idx="45">
                  <c:v>28</c:v>
                </c:pt>
                <c:pt idx="46">
                  <c:v>98</c:v>
                </c:pt>
                <c:pt idx="47">
                  <c:v>34</c:v>
                </c:pt>
                <c:pt idx="48">
                  <c:v>109</c:v>
                </c:pt>
                <c:pt idx="49">
                  <c:v>61</c:v>
                </c:pt>
                <c:pt idx="50">
                  <c:v>96</c:v>
                </c:pt>
                <c:pt idx="51">
                  <c:v>70</c:v>
                </c:pt>
                <c:pt idx="52">
                  <c:v>82</c:v>
                </c:pt>
                <c:pt idx="53">
                  <c:v>115</c:v>
                </c:pt>
                <c:pt idx="54">
                  <c:v>71</c:v>
                </c:pt>
                <c:pt idx="55">
                  <c:v>115</c:v>
                </c:pt>
                <c:pt idx="56">
                  <c:v>23</c:v>
                </c:pt>
                <c:pt idx="57">
                  <c:v>113</c:v>
                </c:pt>
                <c:pt idx="58">
                  <c:v>42</c:v>
                </c:pt>
                <c:pt idx="59">
                  <c:v>34</c:v>
                </c:pt>
                <c:pt idx="60">
                  <c:v>62</c:v>
                </c:pt>
                <c:pt idx="61">
                  <c:v>48</c:v>
                </c:pt>
                <c:pt idx="62">
                  <c:v>55</c:v>
                </c:pt>
                <c:pt idx="63">
                  <c:v>32</c:v>
                </c:pt>
                <c:pt idx="64">
                  <c:v>51</c:v>
                </c:pt>
                <c:pt idx="65">
                  <c:v>90</c:v>
                </c:pt>
                <c:pt idx="66">
                  <c:v>78</c:v>
                </c:pt>
                <c:pt idx="67">
                  <c:v>105</c:v>
                </c:pt>
                <c:pt idx="68">
                  <c:v>47</c:v>
                </c:pt>
                <c:pt idx="69">
                  <c:v>85</c:v>
                </c:pt>
                <c:pt idx="70">
                  <c:v>61</c:v>
                </c:pt>
                <c:pt idx="71">
                  <c:v>64</c:v>
                </c:pt>
                <c:pt idx="72">
                  <c:v>81</c:v>
                </c:pt>
                <c:pt idx="73">
                  <c:v>76</c:v>
                </c:pt>
                <c:pt idx="74">
                  <c:v>25</c:v>
                </c:pt>
                <c:pt idx="75">
                  <c:v>47</c:v>
                </c:pt>
                <c:pt idx="76">
                  <c:v>47</c:v>
                </c:pt>
                <c:pt idx="77">
                  <c:v>63</c:v>
                </c:pt>
                <c:pt idx="78">
                  <c:v>103</c:v>
                </c:pt>
                <c:pt idx="79">
                  <c:v>49</c:v>
                </c:pt>
                <c:pt idx="80">
                  <c:v>81</c:v>
                </c:pt>
                <c:pt idx="81">
                  <c:v>94</c:v>
                </c:pt>
                <c:pt idx="82">
                  <c:v>111</c:v>
                </c:pt>
                <c:pt idx="83">
                  <c:v>108</c:v>
                </c:pt>
                <c:pt idx="84">
                  <c:v>81</c:v>
                </c:pt>
                <c:pt idx="85">
                  <c:v>116</c:v>
                </c:pt>
                <c:pt idx="86">
                  <c:v>20</c:v>
                </c:pt>
                <c:pt idx="87">
                  <c:v>46</c:v>
                </c:pt>
                <c:pt idx="88">
                  <c:v>81</c:v>
                </c:pt>
                <c:pt idx="89">
                  <c:v>96</c:v>
                </c:pt>
                <c:pt idx="90">
                  <c:v>22</c:v>
                </c:pt>
                <c:pt idx="91">
                  <c:v>89</c:v>
                </c:pt>
                <c:pt idx="92">
                  <c:v>91</c:v>
                </c:pt>
                <c:pt idx="93">
                  <c:v>46</c:v>
                </c:pt>
                <c:pt idx="94">
                  <c:v>28</c:v>
                </c:pt>
                <c:pt idx="95">
                  <c:v>81</c:v>
                </c:pt>
                <c:pt idx="96">
                  <c:v>56</c:v>
                </c:pt>
                <c:pt idx="97">
                  <c:v>116</c:v>
                </c:pt>
                <c:pt idx="98">
                  <c:v>70</c:v>
                </c:pt>
                <c:pt idx="9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0-694C-917D-4F4C574DB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34639"/>
        <c:axId val="446346127"/>
      </c:scatterChart>
      <c:valAx>
        <c:axId val="6423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Annual</a:t>
                </a:r>
                <a:r>
                  <a:rPr lang="en-US" sz="1050" b="1" baseline="0"/>
                  <a:t> Income</a:t>
                </a:r>
                <a:endParaRPr lang="en-US" sz="105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446346127"/>
        <c:crosses val="autoZero"/>
        <c:crossBetween val="midCat"/>
      </c:valAx>
      <c:valAx>
        <c:axId val="4463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Spending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6423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KNN Distancias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title>
    <c:autoTitleDeleted val="0"/>
    <c:plotArea>
      <c:layout>
        <c:manualLayout>
          <c:layoutTarget val="inner"/>
          <c:xMode val="edge"/>
          <c:yMode val="edge"/>
          <c:x val="8.3512902738505243E-2"/>
          <c:y val="0.16312803651666252"/>
          <c:w val="0.87740243992696243"/>
          <c:h val="0.743854443512896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4F-3E46-82DF-6D8E4B35A877}"/>
              </c:ext>
            </c:extLst>
          </c:dPt>
          <c:xVal>
            <c:numRef>
              <c:f>'04 - Distances'!$D$6:$D$106</c:f>
              <c:numCache>
                <c:formatCode>0.000</c:formatCode>
                <c:ptCount val="101"/>
                <c:pt idx="0">
                  <c:v>-0.42870214795227696</c:v>
                </c:pt>
                <c:pt idx="1">
                  <c:v>-0.12914319363779761</c:v>
                </c:pt>
                <c:pt idx="2">
                  <c:v>0.53654337150548981</c:v>
                </c:pt>
                <c:pt idx="3">
                  <c:v>1.3353672496774347</c:v>
                </c:pt>
                <c:pt idx="4">
                  <c:v>0.73624934104847606</c:v>
                </c:pt>
                <c:pt idx="5">
                  <c:v>-1.3273790108957149</c:v>
                </c:pt>
                <c:pt idx="6">
                  <c:v>1.3020829214202703</c:v>
                </c:pt>
                <c:pt idx="7">
                  <c:v>-1.5936536369530299</c:v>
                </c:pt>
                <c:pt idx="8">
                  <c:v>-1.3606633391528793</c:v>
                </c:pt>
                <c:pt idx="9">
                  <c:v>1.3020829214202703</c:v>
                </c:pt>
                <c:pt idx="10">
                  <c:v>0.46997471499116106</c:v>
                </c:pt>
                <c:pt idx="11">
                  <c:v>-1.2608103543813862</c:v>
                </c:pt>
                <c:pt idx="12">
                  <c:v>1.0690926236201197</c:v>
                </c:pt>
                <c:pt idx="13">
                  <c:v>-1.3606633391528793</c:v>
                </c:pt>
                <c:pt idx="14">
                  <c:v>-0.46198647620944128</c:v>
                </c:pt>
                <c:pt idx="15">
                  <c:v>-0.46198647620944128</c:v>
                </c:pt>
                <c:pt idx="16">
                  <c:v>-0.52855513272377008</c:v>
                </c:pt>
                <c:pt idx="17">
                  <c:v>-1.4605163239243724</c:v>
                </c:pt>
                <c:pt idx="18">
                  <c:v>-0.26228050666645508</c:v>
                </c:pt>
                <c:pt idx="19">
                  <c:v>-0.6949767740095919</c:v>
                </c:pt>
                <c:pt idx="20">
                  <c:v>-1.3939476674100437</c:v>
                </c:pt>
                <c:pt idx="21">
                  <c:v>0.8028179975628047</c:v>
                </c:pt>
                <c:pt idx="22">
                  <c:v>0.76953366930564038</c:v>
                </c:pt>
                <c:pt idx="23">
                  <c:v>-1.2275260261242218</c:v>
                </c:pt>
                <c:pt idx="24">
                  <c:v>-0.49527080446660565</c:v>
                </c:pt>
                <c:pt idx="25">
                  <c:v>-0.52855513272377008</c:v>
                </c:pt>
                <c:pt idx="26">
                  <c:v>-2.9290208866304495E-2</c:v>
                </c:pt>
                <c:pt idx="27">
                  <c:v>-0.86139841529541372</c:v>
                </c:pt>
                <c:pt idx="28">
                  <c:v>0.43669038673399668</c:v>
                </c:pt>
                <c:pt idx="29">
                  <c:v>1.3020829214202703</c:v>
                </c:pt>
                <c:pt idx="30">
                  <c:v>-0.39541781969511258</c:v>
                </c:pt>
                <c:pt idx="31">
                  <c:v>1.6682105322490783</c:v>
                </c:pt>
                <c:pt idx="32">
                  <c:v>-0.16242752189496198</c:v>
                </c:pt>
                <c:pt idx="33">
                  <c:v>1.2355142649059416</c:v>
                </c:pt>
                <c:pt idx="34">
                  <c:v>1.4019359061917633</c:v>
                </c:pt>
                <c:pt idx="35">
                  <c:v>-0.46198647620944128</c:v>
                </c:pt>
                <c:pt idx="36">
                  <c:v>0.53654337150548981</c:v>
                </c:pt>
                <c:pt idx="37">
                  <c:v>1.6682105322490783</c:v>
                </c:pt>
                <c:pt idx="38">
                  <c:v>-6.257453712346886E-2</c:v>
                </c:pt>
                <c:pt idx="39">
                  <c:v>0.96923963884862663</c:v>
                </c:pt>
                <c:pt idx="40">
                  <c:v>-1.5270849804387012</c:v>
                </c:pt>
                <c:pt idx="41">
                  <c:v>-1.5936536369530299</c:v>
                </c:pt>
                <c:pt idx="42">
                  <c:v>-1.4605163239243724</c:v>
                </c:pt>
                <c:pt idx="43">
                  <c:v>1.3686515779345991</c:v>
                </c:pt>
                <c:pt idx="44">
                  <c:v>-1.1609573696098932</c:v>
                </c:pt>
                <c:pt idx="45">
                  <c:v>-0.72826110226675622</c:v>
                </c:pt>
                <c:pt idx="46">
                  <c:v>-1.3273790108957149</c:v>
                </c:pt>
                <c:pt idx="47">
                  <c:v>1.0025239671057911</c:v>
                </c:pt>
                <c:pt idx="48">
                  <c:v>-1.1276730413527287</c:v>
                </c:pt>
                <c:pt idx="49">
                  <c:v>1.3686515779345991</c:v>
                </c:pt>
                <c:pt idx="50">
                  <c:v>-0.22899617840929071</c:v>
                </c:pt>
                <c:pt idx="51">
                  <c:v>0.9359553105914622</c:v>
                </c:pt>
                <c:pt idx="52">
                  <c:v>7.0562775905188613E-2</c:v>
                </c:pt>
                <c:pt idx="53">
                  <c:v>0.46997471499116106</c:v>
                </c:pt>
                <c:pt idx="54">
                  <c:v>1.5683575474775853</c:v>
                </c:pt>
                <c:pt idx="55">
                  <c:v>0.10384710416235299</c:v>
                </c:pt>
                <c:pt idx="56">
                  <c:v>1.5683575474775853</c:v>
                </c:pt>
                <c:pt idx="57">
                  <c:v>-1.4938006521815368</c:v>
                </c:pt>
                <c:pt idx="58">
                  <c:v>1.5017888909632566</c:v>
                </c:pt>
                <c:pt idx="59">
                  <c:v>-0.86139841529541372</c:v>
                </c:pt>
                <c:pt idx="60">
                  <c:v>-1.1276730413527287</c:v>
                </c:pt>
                <c:pt idx="61">
                  <c:v>-0.19571185015212633</c:v>
                </c:pt>
                <c:pt idx="62">
                  <c:v>-0.66169244575242747</c:v>
                </c:pt>
                <c:pt idx="63">
                  <c:v>-0.42870214795227696</c:v>
                </c:pt>
                <c:pt idx="64">
                  <c:v>-1.1942416978670574</c:v>
                </c:pt>
                <c:pt idx="65">
                  <c:v>-0.5618394609809344</c:v>
                </c:pt>
                <c:pt idx="66">
                  <c:v>0.73624934104847606</c:v>
                </c:pt>
                <c:pt idx="67">
                  <c:v>0.33683740196250356</c:v>
                </c:pt>
                <c:pt idx="68">
                  <c:v>1.2355142649059416</c:v>
                </c:pt>
                <c:pt idx="69">
                  <c:v>-0.6949767740095919</c:v>
                </c:pt>
                <c:pt idx="70">
                  <c:v>0.56982769976265413</c:v>
                </c:pt>
                <c:pt idx="71">
                  <c:v>-0.22899617840929071</c:v>
                </c:pt>
                <c:pt idx="72">
                  <c:v>-0.12914319363779761</c:v>
                </c:pt>
                <c:pt idx="73">
                  <c:v>0.43669038673399668</c:v>
                </c:pt>
                <c:pt idx="74">
                  <c:v>0.27026874544817481</c:v>
                </c:pt>
                <c:pt idx="75">
                  <c:v>-1.4272319956672079</c:v>
                </c:pt>
                <c:pt idx="76">
                  <c:v>-0.6949767740095919</c:v>
                </c:pt>
                <c:pt idx="77">
                  <c:v>-0.6949767740095919</c:v>
                </c:pt>
                <c:pt idx="78">
                  <c:v>-0.16242752189496198</c:v>
                </c:pt>
                <c:pt idx="79">
                  <c:v>1.1689456083916128</c:v>
                </c:pt>
                <c:pt idx="80">
                  <c:v>-0.62840811749526315</c:v>
                </c:pt>
                <c:pt idx="81">
                  <c:v>0.43669038673399668</c:v>
                </c:pt>
                <c:pt idx="82">
                  <c:v>0.86938665407713345</c:v>
                </c:pt>
                <c:pt idx="83">
                  <c:v>1.4352202344489278</c:v>
                </c:pt>
                <c:pt idx="84">
                  <c:v>1.3353672496774347</c:v>
                </c:pt>
                <c:pt idx="85">
                  <c:v>0.43669038673399668</c:v>
                </c:pt>
                <c:pt idx="86">
                  <c:v>1.6016418757347497</c:v>
                </c:pt>
                <c:pt idx="87">
                  <c:v>-1.5936536369530299</c:v>
                </c:pt>
                <c:pt idx="88">
                  <c:v>-0.72826110226675622</c:v>
                </c:pt>
                <c:pt idx="89">
                  <c:v>0.43669038673399668</c:v>
                </c:pt>
                <c:pt idx="90">
                  <c:v>0.9359553105914622</c:v>
                </c:pt>
                <c:pt idx="91">
                  <c:v>-1.5270849804387012</c:v>
                </c:pt>
                <c:pt idx="92">
                  <c:v>0.70296501279131163</c:v>
                </c:pt>
                <c:pt idx="93">
                  <c:v>0.76953366930564038</c:v>
                </c:pt>
                <c:pt idx="94">
                  <c:v>-0.72826110226675622</c:v>
                </c:pt>
                <c:pt idx="95">
                  <c:v>-1.3273790108957149</c:v>
                </c:pt>
                <c:pt idx="96">
                  <c:v>0.43669038673399668</c:v>
                </c:pt>
                <c:pt idx="97">
                  <c:v>-0.39541781969511258</c:v>
                </c:pt>
                <c:pt idx="98">
                  <c:v>1.6016418757347497</c:v>
                </c:pt>
                <c:pt idx="99">
                  <c:v>7.0562775905188613E-2</c:v>
                </c:pt>
                <c:pt idx="100">
                  <c:v>-0.16242752189496198</c:v>
                </c:pt>
              </c:numCache>
            </c:numRef>
          </c:xVal>
          <c:yVal>
            <c:numRef>
              <c:f>'04 - Distances'!$E$6:$E$106</c:f>
              <c:numCache>
                <c:formatCode>0.000</c:formatCode>
                <c:ptCount val="101"/>
                <c:pt idx="0">
                  <c:v>0.36010941906756916</c:v>
                </c:pt>
                <c:pt idx="1">
                  <c:v>-0.79738514222104573</c:v>
                </c:pt>
                <c:pt idx="2">
                  <c:v>0.97100932641433813</c:v>
                </c:pt>
                <c:pt idx="3">
                  <c:v>0.32795679236510761</c:v>
                </c:pt>
                <c:pt idx="4">
                  <c:v>-0.54016412860135354</c:v>
                </c:pt>
                <c:pt idx="5">
                  <c:v>1.517603980356184</c:v>
                </c:pt>
                <c:pt idx="6">
                  <c:v>1.2603829667364919</c:v>
                </c:pt>
                <c:pt idx="7">
                  <c:v>0.10288840544787696</c:v>
                </c:pt>
                <c:pt idx="8">
                  <c:v>0.4244146724724922</c:v>
                </c:pt>
                <c:pt idx="9">
                  <c:v>0.29580416566264611</c:v>
                </c:pt>
                <c:pt idx="10">
                  <c:v>0.10288840544787696</c:v>
                </c:pt>
                <c:pt idx="11">
                  <c:v>-1.183216662650584</c:v>
                </c:pt>
                <c:pt idx="12">
                  <c:v>-0.31509574168412285</c:v>
                </c:pt>
                <c:pt idx="13">
                  <c:v>-1.5047429296751993</c:v>
                </c:pt>
                <c:pt idx="14">
                  <c:v>-1.4725903029727376</c:v>
                </c:pt>
                <c:pt idx="15">
                  <c:v>0.23149891225772307</c:v>
                </c:pt>
                <c:pt idx="16">
                  <c:v>1.0353145798192611</c:v>
                </c:pt>
                <c:pt idx="17">
                  <c:v>0.32795679236510761</c:v>
                </c:pt>
                <c:pt idx="18">
                  <c:v>-1.5047429296751993</c:v>
                </c:pt>
                <c:pt idx="19">
                  <c:v>-1.5047429296751993</c:v>
                </c:pt>
                <c:pt idx="20">
                  <c:v>1.3889934735463378</c:v>
                </c:pt>
                <c:pt idx="21">
                  <c:v>0.16719365885280002</c:v>
                </c:pt>
                <c:pt idx="22">
                  <c:v>1.2282303400340302</c:v>
                </c:pt>
                <c:pt idx="23">
                  <c:v>1.517603980356184</c:v>
                </c:pt>
                <c:pt idx="24">
                  <c:v>1.5497566070586455</c:v>
                </c:pt>
                <c:pt idx="25">
                  <c:v>-1.5368955563776607</c:v>
                </c:pt>
                <c:pt idx="26">
                  <c:v>-0.95814827573335326</c:v>
                </c:pt>
                <c:pt idx="27">
                  <c:v>-1.5047429296751993</c:v>
                </c:pt>
                <c:pt idx="28">
                  <c:v>0.1350410321503385</c:v>
                </c:pt>
                <c:pt idx="29">
                  <c:v>-0.15433260817181521</c:v>
                </c:pt>
                <c:pt idx="30">
                  <c:v>1.324688220141415</c:v>
                </c:pt>
                <c:pt idx="31">
                  <c:v>-0.54016412860135354</c:v>
                </c:pt>
                <c:pt idx="32">
                  <c:v>0.68163568609218439</c:v>
                </c:pt>
                <c:pt idx="33">
                  <c:v>-0.54016412860135354</c:v>
                </c:pt>
                <c:pt idx="34">
                  <c:v>0.61733043268726129</c:v>
                </c:pt>
                <c:pt idx="35">
                  <c:v>0.19934628555526154</c:v>
                </c:pt>
                <c:pt idx="36">
                  <c:v>0.84239881960449203</c:v>
                </c:pt>
                <c:pt idx="37">
                  <c:v>0.23149891225772307</c:v>
                </c:pt>
                <c:pt idx="38">
                  <c:v>-1.0224535291382764</c:v>
                </c:pt>
                <c:pt idx="39">
                  <c:v>-0.34724836838658435</c:v>
                </c:pt>
                <c:pt idx="40">
                  <c:v>-0.79738514222104573</c:v>
                </c:pt>
                <c:pt idx="41">
                  <c:v>0.64948305938972284</c:v>
                </c:pt>
                <c:pt idx="42">
                  <c:v>1.5819092337611071</c:v>
                </c:pt>
                <c:pt idx="43">
                  <c:v>0.68163568609218439</c:v>
                </c:pt>
                <c:pt idx="44">
                  <c:v>1.1960777133315688</c:v>
                </c:pt>
                <c:pt idx="45">
                  <c:v>-1.2153692893530454</c:v>
                </c:pt>
                <c:pt idx="46">
                  <c:v>-1.0546061558407378</c:v>
                </c:pt>
                <c:pt idx="47">
                  <c:v>1.5497566070586455</c:v>
                </c:pt>
                <c:pt idx="48">
                  <c:v>0.77809356619956893</c:v>
                </c:pt>
                <c:pt idx="49">
                  <c:v>0.32795679236510761</c:v>
                </c:pt>
                <c:pt idx="50">
                  <c:v>0.68163568609218439</c:v>
                </c:pt>
                <c:pt idx="51">
                  <c:v>1.0031619531167997</c:v>
                </c:pt>
                <c:pt idx="52">
                  <c:v>1.4211461002487995</c:v>
                </c:pt>
                <c:pt idx="53">
                  <c:v>-1.4725903029727376</c:v>
                </c:pt>
                <c:pt idx="54">
                  <c:v>-0.92599564903089182</c:v>
                </c:pt>
                <c:pt idx="55">
                  <c:v>0.32795679236510761</c:v>
                </c:pt>
                <c:pt idx="56">
                  <c:v>-0.4115536217915074</c:v>
                </c:pt>
                <c:pt idx="57">
                  <c:v>-0.95814827573335326</c:v>
                </c:pt>
                <c:pt idx="58">
                  <c:v>1.324688220141415</c:v>
                </c:pt>
                <c:pt idx="59">
                  <c:v>0.58517780598479985</c:v>
                </c:pt>
                <c:pt idx="60">
                  <c:v>-0.95814827573335326</c:v>
                </c:pt>
                <c:pt idx="61">
                  <c:v>-0.92599564903089182</c:v>
                </c:pt>
                <c:pt idx="62">
                  <c:v>1.517603980356184</c:v>
                </c:pt>
                <c:pt idx="63">
                  <c:v>0.71378831279464594</c:v>
                </c:pt>
                <c:pt idx="64">
                  <c:v>0.10288840544787696</c:v>
                </c:pt>
                <c:pt idx="65">
                  <c:v>-0.50801150189889199</c:v>
                </c:pt>
                <c:pt idx="66">
                  <c:v>-0.2829431149816613</c:v>
                </c:pt>
                <c:pt idx="67">
                  <c:v>-0.31509574168412285</c:v>
                </c:pt>
                <c:pt idx="68">
                  <c:v>1.0674672065217228</c:v>
                </c:pt>
                <c:pt idx="69">
                  <c:v>-1.5368955563776607</c:v>
                </c:pt>
                <c:pt idx="70">
                  <c:v>-1.2153692893530454</c:v>
                </c:pt>
                <c:pt idx="71">
                  <c:v>1.3889934735463378</c:v>
                </c:pt>
                <c:pt idx="72">
                  <c:v>0.26365153896018456</c:v>
                </c:pt>
                <c:pt idx="73">
                  <c:v>1.2925355934389533</c:v>
                </c:pt>
                <c:pt idx="74">
                  <c:v>3.8583152042953921E-2</c:v>
                </c:pt>
                <c:pt idx="75">
                  <c:v>-0.82953776892350717</c:v>
                </c:pt>
                <c:pt idx="76">
                  <c:v>-0.57231675530381498</c:v>
                </c:pt>
                <c:pt idx="77">
                  <c:v>1.4532987269512609</c:v>
                </c:pt>
                <c:pt idx="78">
                  <c:v>-0.21863786157673826</c:v>
                </c:pt>
                <c:pt idx="79">
                  <c:v>1.6140618604635686</c:v>
                </c:pt>
                <c:pt idx="80">
                  <c:v>-1.3439797961628916</c:v>
                </c:pt>
                <c:pt idx="81">
                  <c:v>-1.0546061558407378</c:v>
                </c:pt>
                <c:pt idx="82">
                  <c:v>1.324688220141415</c:v>
                </c:pt>
                <c:pt idx="83">
                  <c:v>0.36010941906756916</c:v>
                </c:pt>
                <c:pt idx="84">
                  <c:v>-1.5047429296751993</c:v>
                </c:pt>
                <c:pt idx="85">
                  <c:v>-1.5368955563776607</c:v>
                </c:pt>
                <c:pt idx="86">
                  <c:v>-2.5722101361969129E-2</c:v>
                </c:pt>
                <c:pt idx="87">
                  <c:v>-1.183216662650584</c:v>
                </c:pt>
                <c:pt idx="88">
                  <c:v>0.64948305938972284</c:v>
                </c:pt>
                <c:pt idx="89">
                  <c:v>-0.3794009950890459</c:v>
                </c:pt>
                <c:pt idx="90">
                  <c:v>-0.54016412860135354</c:v>
                </c:pt>
                <c:pt idx="91">
                  <c:v>-1.2796745427579685</c:v>
                </c:pt>
                <c:pt idx="92">
                  <c:v>1.6140618604635686</c:v>
                </c:pt>
                <c:pt idx="93">
                  <c:v>-0.95814827573335326</c:v>
                </c:pt>
                <c:pt idx="94">
                  <c:v>-2.5722101361969129E-2</c:v>
                </c:pt>
                <c:pt idx="95">
                  <c:v>1.0031619531167997</c:v>
                </c:pt>
                <c:pt idx="96">
                  <c:v>-1.4725903029727376</c:v>
                </c:pt>
                <c:pt idx="97">
                  <c:v>-0.92599564903089182</c:v>
                </c:pt>
                <c:pt idx="98">
                  <c:v>-0.79738514222104573</c:v>
                </c:pt>
                <c:pt idx="99">
                  <c:v>0.16719365885280002</c:v>
                </c:pt>
                <c:pt idx="100">
                  <c:v>-0.50801150189889199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F-3E46-82DF-6D8E4B35A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543056"/>
        <c:axId val="517823232"/>
      </c:scatterChart>
      <c:valAx>
        <c:axId val="51754305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Annual Income</a:t>
                </a:r>
              </a:p>
            </c:rich>
          </c:tx>
          <c:layout>
            <c:manualLayout>
              <c:xMode val="edge"/>
              <c:yMode val="edge"/>
              <c:x val="0.43233308036333939"/>
              <c:y val="0.92615616542622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517823232"/>
        <c:crosses val="autoZero"/>
        <c:crossBetween val="midCat"/>
      </c:valAx>
      <c:valAx>
        <c:axId val="5178232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Spending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51754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Algoritmo</a:t>
            </a:r>
            <a:r>
              <a:rPr lang="en-US" b="1" baseline="0">
                <a:solidFill>
                  <a:sysClr val="windowText" lastClr="000000"/>
                </a:solidFill>
              </a:rPr>
              <a:t> KNN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'05 - Nearest Neighbors'!$F$4</c:f>
              <c:strCache>
                <c:ptCount val="1"/>
                <c:pt idx="0">
                  <c:v>Spending_Score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14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C51-6E42-A95E-C9B6C070A5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DC00E01-E933-4008-B754-2212AA38B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C51-6E42-A95E-C9B6C070A5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4470CD-E7E9-4EF0-ACB1-1A588B3187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C51-6E42-A95E-C9B6C070A5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12179CF-01B2-4774-A8DB-5D715FCEE0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C51-6E42-A95E-C9B6C070A572}"/>
                </c:ext>
              </c:extLst>
            </c:dLbl>
            <c:dLbl>
              <c:idx val="3"/>
              <c:layout>
                <c:manualLayout>
                  <c:x val="-9.4444444444444442E-2"/>
                  <c:y val="0.12037037037037036"/>
                </c:manualLayout>
              </c:layout>
              <c:tx>
                <c:rich>
                  <a:bodyPr/>
                  <a:lstStyle/>
                  <a:p>
                    <a:fld id="{320C9106-3BE5-47EF-AA36-86A14314CC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C51-6E42-A95E-C9B6C070A572}"/>
                </c:ext>
              </c:extLst>
            </c:dLbl>
            <c:dLbl>
              <c:idx val="4"/>
              <c:layout>
                <c:manualLayout>
                  <c:x val="0"/>
                  <c:y val="-4.1666666666666581E-2"/>
                </c:manualLayout>
              </c:layout>
              <c:tx>
                <c:rich>
                  <a:bodyPr/>
                  <a:lstStyle/>
                  <a:p>
                    <a:fld id="{50A20F8F-994A-4EF9-8AB9-77D6DF2C7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C51-6E42-A95E-C9B6C070A5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20256A7-54F0-442A-921D-6019CE28B7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C51-6E42-A95E-C9B6C070A5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C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'05 - Nearest Neighbors'!$E$5:$E$10</c:f>
              <c:numCache>
                <c:formatCode>General</c:formatCode>
                <c:ptCount val="6"/>
                <c:pt idx="0">
                  <c:v>96</c:v>
                </c:pt>
                <c:pt idx="1">
                  <c:v>82</c:v>
                </c:pt>
                <c:pt idx="2">
                  <c:v>51</c:v>
                </c:pt>
                <c:pt idx="3">
                  <c:v>47</c:v>
                </c:pt>
                <c:pt idx="4">
                  <c:v>81</c:v>
                </c:pt>
                <c:pt idx="5">
                  <c:v>55</c:v>
                </c:pt>
              </c:numCache>
            </c:numRef>
          </c:xVal>
          <c:yVal>
            <c:numRef>
              <c:f>'05 - Nearest Neighbors'!$F$5:$F$10</c:f>
              <c:numCache>
                <c:formatCode>General</c:formatCode>
                <c:ptCount val="6"/>
                <c:pt idx="0">
                  <c:v>32</c:v>
                </c:pt>
                <c:pt idx="1">
                  <c:v>52</c:v>
                </c:pt>
                <c:pt idx="2">
                  <c:v>33</c:v>
                </c:pt>
                <c:pt idx="3">
                  <c:v>31</c:v>
                </c:pt>
                <c:pt idx="4">
                  <c:v>1</c:v>
                </c:pt>
                <c:pt idx="5">
                  <c:v>60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'05 - Nearest Neighbors'!$G$5:$G$10</c15:f>
                <c15:dlblRangeCache>
                  <c:ptCount val="6"/>
                  <c:pt idx="0">
                    <c:v>Low Value</c:v>
                  </c:pt>
                  <c:pt idx="1">
                    <c:v>Standard</c:v>
                  </c:pt>
                  <c:pt idx="2">
                    <c:v>Standard</c:v>
                  </c:pt>
                  <c:pt idx="3">
                    <c:v>Low Value</c:v>
                  </c:pt>
                  <c:pt idx="4">
                    <c:v>Low Value</c:v>
                  </c:pt>
                  <c:pt idx="5">
                    <c:v>Low Value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C51-6E42-A95E-C9B6C070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263264"/>
        <c:axId val="494443232"/>
      </c:scatterChart>
      <c:valAx>
        <c:axId val="49426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Annual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494443232"/>
        <c:crosses val="autoZero"/>
        <c:crossBetween val="midCat"/>
      </c:valAx>
      <c:valAx>
        <c:axId val="4944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Spending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49426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75</xdr:row>
      <xdr:rowOff>25400</xdr:rowOff>
    </xdr:from>
    <xdr:to>
      <xdr:col>11</xdr:col>
      <xdr:colOff>666750</xdr:colOff>
      <xdr:row>94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25B9B-50DF-8E58-4112-B589F543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24689</xdr:colOff>
      <xdr:row>10</xdr:row>
      <xdr:rowOff>110341</xdr:rowOff>
    </xdr:from>
    <xdr:to>
      <xdr:col>4</xdr:col>
      <xdr:colOff>935411</xdr:colOff>
      <xdr:row>13</xdr:row>
      <xdr:rowOff>73270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BA669-487A-2667-55A8-4637C2A6C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3086" y="1995634"/>
          <a:ext cx="2838713" cy="524575"/>
        </a:xfrm>
        <a:prstGeom prst="rect">
          <a:avLst/>
        </a:prstGeom>
      </xdr:spPr>
    </xdr:pic>
    <xdr:clientData/>
  </xdr:twoCellAnchor>
  <xdr:twoCellAnchor>
    <xdr:from>
      <xdr:col>18</xdr:col>
      <xdr:colOff>323467</xdr:colOff>
      <xdr:row>16</xdr:row>
      <xdr:rowOff>54248</xdr:rowOff>
    </xdr:from>
    <xdr:to>
      <xdr:col>26</xdr:col>
      <xdr:colOff>341585</xdr:colOff>
      <xdr:row>33</xdr:row>
      <xdr:rowOff>68975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C5C77A-B838-4342-A4BC-E1F351CFC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57149</xdr:colOff>
      <xdr:row>11</xdr:row>
      <xdr:rowOff>6879</xdr:rowOff>
    </xdr:from>
    <xdr:to>
      <xdr:col>24</xdr:col>
      <xdr:colOff>476249</xdr:colOff>
      <xdr:row>13</xdr:row>
      <xdr:rowOff>154517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25EF7C-3A73-44CF-B8E8-3DBF971DC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0524" y="1721379"/>
          <a:ext cx="3943350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97852</xdr:colOff>
      <xdr:row>3</xdr:row>
      <xdr:rowOff>138113</xdr:rowOff>
    </xdr:from>
    <xdr:to>
      <xdr:col>28</xdr:col>
      <xdr:colOff>249239</xdr:colOff>
      <xdr:row>27</xdr:row>
      <xdr:rowOff>20866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DC6A0-D2C2-9886-1E65-7B5A08690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96718" y="328613"/>
          <a:ext cx="6308620" cy="4386262"/>
        </a:xfrm>
        <a:prstGeom prst="rect">
          <a:avLst/>
        </a:prstGeom>
      </xdr:spPr>
    </xdr:pic>
    <xdr:clientData/>
  </xdr:twoCellAnchor>
  <xdr:twoCellAnchor>
    <xdr:from>
      <xdr:col>3</xdr:col>
      <xdr:colOff>451305</xdr:colOff>
      <xdr:row>13</xdr:row>
      <xdr:rowOff>171676</xdr:rowOff>
    </xdr:from>
    <xdr:to>
      <xdr:col>9</xdr:col>
      <xdr:colOff>376011</xdr:colOff>
      <xdr:row>30</xdr:row>
      <xdr:rowOff>143329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6CF919-0A8B-8D88-3020-E4B65FAD8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10C29F-A633-49D3-BB06-69C7843639C2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showGridLines="0" zoomScale="140" zoomScaleNormal="140" workbookViewId="0">
      <selection activeCell="H16" sqref="H16"/>
    </sheetView>
  </sheetViews>
  <sheetFormatPr defaultColWidth="8.81640625" defaultRowHeight="14.5" x14ac:dyDescent="0.35"/>
  <cols>
    <col min="3" max="3" width="15.81640625" customWidth="1"/>
    <col min="4" max="4" width="17.6328125" customWidth="1"/>
    <col min="5" max="5" width="18.6328125" customWidth="1"/>
  </cols>
  <sheetData>
    <row r="1" spans="1:12" ht="15" thickBot="1" x14ac:dyDescent="0.4"/>
    <row r="2" spans="1:12" ht="1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2" t="s">
        <v>11</v>
      </c>
      <c r="G2" s="22" t="s">
        <v>20</v>
      </c>
      <c r="H2" s="23"/>
      <c r="I2" s="23"/>
      <c r="J2" s="23"/>
      <c r="K2" s="23"/>
      <c r="L2" s="24"/>
    </row>
    <row r="3" spans="1:12" x14ac:dyDescent="0.35">
      <c r="A3">
        <v>1</v>
      </c>
      <c r="B3">
        <v>56</v>
      </c>
      <c r="C3">
        <v>64</v>
      </c>
      <c r="D3">
        <v>24</v>
      </c>
      <c r="E3" t="str">
        <f>IF(D3&lt;33,"Low Value",IF(D3&lt;66,"Standard","Premium"))</f>
        <v>Low Value</v>
      </c>
      <c r="G3" s="16" t="s">
        <v>21</v>
      </c>
      <c r="H3" s="17"/>
      <c r="I3" s="17"/>
      <c r="J3" s="17"/>
      <c r="K3" s="17"/>
      <c r="L3" s="18"/>
    </row>
    <row r="4" spans="1:12" x14ac:dyDescent="0.35">
      <c r="A4">
        <v>2</v>
      </c>
      <c r="B4">
        <v>69</v>
      </c>
      <c r="C4">
        <v>84</v>
      </c>
      <c r="D4">
        <v>79</v>
      </c>
      <c r="E4" t="str">
        <f t="shared" ref="E4:E67" si="0">IF(D4&lt;33,"Low Value",IF(D4&lt;66,"Standard","Premium"))</f>
        <v>Premium</v>
      </c>
      <c r="G4" s="16" t="s">
        <v>22</v>
      </c>
      <c r="H4" s="17"/>
      <c r="I4" s="17"/>
      <c r="J4" s="17"/>
      <c r="K4" s="17"/>
      <c r="L4" s="18"/>
    </row>
    <row r="5" spans="1:12" x14ac:dyDescent="0.35">
      <c r="A5">
        <v>3</v>
      </c>
      <c r="B5">
        <v>46</v>
      </c>
      <c r="C5">
        <v>108</v>
      </c>
      <c r="D5">
        <v>59</v>
      </c>
      <c r="E5" t="str">
        <f t="shared" si="0"/>
        <v>Standard</v>
      </c>
      <c r="G5" s="16" t="s">
        <v>23</v>
      </c>
      <c r="H5" s="17"/>
      <c r="I5" s="17"/>
      <c r="J5" s="17"/>
      <c r="K5" s="17"/>
      <c r="L5" s="18"/>
    </row>
    <row r="6" spans="1:12" ht="15" thickBot="1" x14ac:dyDescent="0.4">
      <c r="A6">
        <v>4</v>
      </c>
      <c r="B6">
        <v>32</v>
      </c>
      <c r="C6">
        <v>90</v>
      </c>
      <c r="D6">
        <v>32</v>
      </c>
      <c r="E6" t="str">
        <f t="shared" si="0"/>
        <v>Low Value</v>
      </c>
      <c r="G6" s="19" t="s">
        <v>24</v>
      </c>
      <c r="H6" s="20"/>
      <c r="I6" s="20"/>
      <c r="J6" s="20"/>
      <c r="K6" s="20"/>
      <c r="L6" s="21"/>
    </row>
    <row r="7" spans="1:12" x14ac:dyDescent="0.35">
      <c r="A7">
        <v>5</v>
      </c>
      <c r="B7">
        <v>60</v>
      </c>
      <c r="C7">
        <v>28</v>
      </c>
      <c r="D7">
        <v>96</v>
      </c>
      <c r="E7" t="str">
        <f t="shared" si="0"/>
        <v>Premium</v>
      </c>
    </row>
    <row r="8" spans="1:12" x14ac:dyDescent="0.35">
      <c r="A8">
        <v>6</v>
      </c>
      <c r="B8">
        <v>25</v>
      </c>
      <c r="C8">
        <v>107</v>
      </c>
      <c r="D8">
        <v>88</v>
      </c>
      <c r="E8" t="str">
        <f t="shared" si="0"/>
        <v>Premium</v>
      </c>
    </row>
    <row r="9" spans="1:12" x14ac:dyDescent="0.35">
      <c r="A9">
        <v>7</v>
      </c>
      <c r="B9">
        <v>38</v>
      </c>
      <c r="C9">
        <v>20</v>
      </c>
      <c r="D9">
        <v>52</v>
      </c>
      <c r="E9" t="str">
        <f t="shared" si="0"/>
        <v>Standard</v>
      </c>
    </row>
    <row r="10" spans="1:12" x14ac:dyDescent="0.35">
      <c r="A10">
        <v>8</v>
      </c>
      <c r="B10">
        <v>56</v>
      </c>
      <c r="C10">
        <v>27</v>
      </c>
      <c r="D10">
        <v>62</v>
      </c>
      <c r="E10" t="str">
        <f t="shared" si="0"/>
        <v>Standard</v>
      </c>
    </row>
    <row r="11" spans="1:12" x14ac:dyDescent="0.35">
      <c r="A11">
        <v>9</v>
      </c>
      <c r="B11">
        <v>36</v>
      </c>
      <c r="C11">
        <v>107</v>
      </c>
      <c r="D11">
        <v>58</v>
      </c>
      <c r="E11" t="str">
        <f t="shared" si="0"/>
        <v>Standard</v>
      </c>
    </row>
    <row r="12" spans="1:12" x14ac:dyDescent="0.35">
      <c r="A12">
        <v>10</v>
      </c>
      <c r="B12">
        <v>40</v>
      </c>
      <c r="C12">
        <v>82</v>
      </c>
      <c r="D12">
        <v>52</v>
      </c>
      <c r="E12" t="str">
        <f t="shared" si="0"/>
        <v>Standard</v>
      </c>
    </row>
    <row r="13" spans="1:12" x14ac:dyDescent="0.35">
      <c r="A13">
        <v>11</v>
      </c>
      <c r="B13">
        <v>28</v>
      </c>
      <c r="C13">
        <v>30</v>
      </c>
      <c r="D13">
        <v>12</v>
      </c>
      <c r="E13" t="str">
        <f t="shared" si="0"/>
        <v>Low Value</v>
      </c>
    </row>
    <row r="14" spans="1:12" x14ac:dyDescent="0.35">
      <c r="A14">
        <v>12</v>
      </c>
      <c r="B14">
        <v>28</v>
      </c>
      <c r="C14">
        <v>100</v>
      </c>
      <c r="D14">
        <v>39</v>
      </c>
      <c r="E14" t="str">
        <f t="shared" si="0"/>
        <v>Standard</v>
      </c>
    </row>
    <row r="15" spans="1:12" x14ac:dyDescent="0.35">
      <c r="A15">
        <v>13</v>
      </c>
      <c r="B15">
        <v>41</v>
      </c>
      <c r="C15">
        <v>27</v>
      </c>
      <c r="D15">
        <v>2</v>
      </c>
      <c r="E15" t="str">
        <f t="shared" si="0"/>
        <v>Low Value</v>
      </c>
    </row>
    <row r="16" spans="1:12" x14ac:dyDescent="0.35">
      <c r="A16">
        <v>14</v>
      </c>
      <c r="B16">
        <v>53</v>
      </c>
      <c r="C16">
        <v>54</v>
      </c>
      <c r="D16">
        <v>3</v>
      </c>
      <c r="E16" t="str">
        <f t="shared" si="0"/>
        <v>Low Value</v>
      </c>
    </row>
    <row r="17" spans="1:5" x14ac:dyDescent="0.35">
      <c r="A17">
        <v>15</v>
      </c>
      <c r="B17">
        <v>57</v>
      </c>
      <c r="C17">
        <v>54</v>
      </c>
      <c r="D17">
        <v>56</v>
      </c>
      <c r="E17" t="str">
        <f t="shared" si="0"/>
        <v>Standard</v>
      </c>
    </row>
    <row r="18" spans="1:5" x14ac:dyDescent="0.35">
      <c r="A18">
        <v>16</v>
      </c>
      <c r="B18">
        <v>41</v>
      </c>
      <c r="C18">
        <v>52</v>
      </c>
      <c r="D18">
        <v>81</v>
      </c>
      <c r="E18" t="str">
        <f t="shared" si="0"/>
        <v>Premium</v>
      </c>
    </row>
    <row r="19" spans="1:5" x14ac:dyDescent="0.35">
      <c r="A19">
        <v>17</v>
      </c>
      <c r="B19">
        <v>20</v>
      </c>
      <c r="C19">
        <v>24</v>
      </c>
      <c r="D19">
        <v>59</v>
      </c>
      <c r="E19" t="str">
        <f t="shared" si="0"/>
        <v>Standard</v>
      </c>
    </row>
    <row r="20" spans="1:5" x14ac:dyDescent="0.35">
      <c r="A20">
        <v>18</v>
      </c>
      <c r="B20">
        <v>39</v>
      </c>
      <c r="C20">
        <v>60</v>
      </c>
      <c r="D20">
        <v>2</v>
      </c>
      <c r="E20" t="str">
        <f t="shared" si="0"/>
        <v>Low Value</v>
      </c>
    </row>
    <row r="21" spans="1:5" x14ac:dyDescent="0.35">
      <c r="A21">
        <v>19</v>
      </c>
      <c r="B21">
        <v>19</v>
      </c>
      <c r="C21">
        <v>47</v>
      </c>
      <c r="D21">
        <v>2</v>
      </c>
      <c r="E21" t="str">
        <f t="shared" si="0"/>
        <v>Low Value</v>
      </c>
    </row>
    <row r="22" spans="1:5" x14ac:dyDescent="0.35">
      <c r="A22">
        <v>20</v>
      </c>
      <c r="B22">
        <v>41</v>
      </c>
      <c r="C22">
        <v>26</v>
      </c>
      <c r="D22">
        <v>92</v>
      </c>
      <c r="E22" t="str">
        <f t="shared" si="0"/>
        <v>Premium</v>
      </c>
    </row>
    <row r="23" spans="1:5" x14ac:dyDescent="0.35">
      <c r="A23">
        <v>21</v>
      </c>
      <c r="B23">
        <v>61</v>
      </c>
      <c r="C23">
        <v>92</v>
      </c>
      <c r="D23">
        <v>54</v>
      </c>
      <c r="E23" t="str">
        <f t="shared" si="0"/>
        <v>Standard</v>
      </c>
    </row>
    <row r="24" spans="1:5" x14ac:dyDescent="0.35">
      <c r="A24">
        <v>22</v>
      </c>
      <c r="B24">
        <v>47</v>
      </c>
      <c r="C24">
        <v>91</v>
      </c>
      <c r="D24">
        <v>87</v>
      </c>
      <c r="E24" t="str">
        <f t="shared" si="0"/>
        <v>Premium</v>
      </c>
    </row>
    <row r="25" spans="1:5" x14ac:dyDescent="0.35">
      <c r="A25">
        <v>23</v>
      </c>
      <c r="B25">
        <v>55</v>
      </c>
      <c r="C25">
        <v>31</v>
      </c>
      <c r="D25">
        <v>96</v>
      </c>
      <c r="E25" t="str">
        <f t="shared" si="0"/>
        <v>Premium</v>
      </c>
    </row>
    <row r="26" spans="1:5" x14ac:dyDescent="0.35">
      <c r="A26">
        <v>24</v>
      </c>
      <c r="B26">
        <v>19</v>
      </c>
      <c r="C26">
        <v>53</v>
      </c>
      <c r="D26">
        <v>97</v>
      </c>
      <c r="E26" t="str">
        <f t="shared" si="0"/>
        <v>Premium</v>
      </c>
    </row>
    <row r="27" spans="1:5" x14ac:dyDescent="0.35">
      <c r="A27">
        <v>25</v>
      </c>
      <c r="B27">
        <v>38</v>
      </c>
      <c r="C27">
        <v>52</v>
      </c>
      <c r="D27">
        <v>1</v>
      </c>
      <c r="E27" t="str">
        <f t="shared" si="0"/>
        <v>Low Value</v>
      </c>
    </row>
    <row r="28" spans="1:5" x14ac:dyDescent="0.35">
      <c r="A28">
        <v>26</v>
      </c>
      <c r="B28">
        <v>50</v>
      </c>
      <c r="C28">
        <v>67</v>
      </c>
      <c r="D28">
        <v>19</v>
      </c>
      <c r="E28" t="str">
        <f t="shared" si="0"/>
        <v>Low Value</v>
      </c>
    </row>
    <row r="29" spans="1:5" x14ac:dyDescent="0.35">
      <c r="A29">
        <v>27</v>
      </c>
      <c r="B29">
        <v>29</v>
      </c>
      <c r="C29">
        <v>42</v>
      </c>
      <c r="D29">
        <v>2</v>
      </c>
      <c r="E29" t="str">
        <f t="shared" si="0"/>
        <v>Low Value</v>
      </c>
    </row>
    <row r="30" spans="1:5" x14ac:dyDescent="0.35">
      <c r="A30">
        <v>28</v>
      </c>
      <c r="B30">
        <v>39</v>
      </c>
      <c r="C30">
        <v>81</v>
      </c>
      <c r="D30">
        <v>53</v>
      </c>
      <c r="E30" t="str">
        <f t="shared" si="0"/>
        <v>Standard</v>
      </c>
    </row>
    <row r="31" spans="1:5" x14ac:dyDescent="0.35">
      <c r="A31">
        <v>29</v>
      </c>
      <c r="B31">
        <v>61</v>
      </c>
      <c r="C31">
        <v>107</v>
      </c>
      <c r="D31">
        <v>44</v>
      </c>
      <c r="E31" t="str">
        <f t="shared" si="0"/>
        <v>Standard</v>
      </c>
    </row>
    <row r="32" spans="1:5" x14ac:dyDescent="0.35">
      <c r="A32">
        <v>30</v>
      </c>
      <c r="B32">
        <v>42</v>
      </c>
      <c r="C32">
        <v>56</v>
      </c>
      <c r="D32">
        <v>90</v>
      </c>
      <c r="E32" t="str">
        <f t="shared" si="0"/>
        <v>Premium</v>
      </c>
    </row>
    <row r="33" spans="1:5" x14ac:dyDescent="0.35">
      <c r="A33">
        <v>31</v>
      </c>
      <c r="B33">
        <v>66</v>
      </c>
      <c r="C33">
        <v>118</v>
      </c>
      <c r="D33">
        <v>32</v>
      </c>
      <c r="E33" t="str">
        <f t="shared" si="0"/>
        <v>Low Value</v>
      </c>
    </row>
    <row r="34" spans="1:5" x14ac:dyDescent="0.35">
      <c r="A34">
        <v>32</v>
      </c>
      <c r="B34">
        <v>44</v>
      </c>
      <c r="C34">
        <v>63</v>
      </c>
      <c r="D34">
        <v>70</v>
      </c>
      <c r="E34" t="str">
        <f t="shared" si="0"/>
        <v>Premium</v>
      </c>
    </row>
    <row r="35" spans="1:5" x14ac:dyDescent="0.35">
      <c r="A35">
        <v>33</v>
      </c>
      <c r="B35">
        <v>59</v>
      </c>
      <c r="C35">
        <v>105</v>
      </c>
      <c r="D35">
        <v>32</v>
      </c>
      <c r="E35" t="str">
        <f t="shared" si="0"/>
        <v>Low Value</v>
      </c>
    </row>
    <row r="36" spans="1:5" x14ac:dyDescent="0.35">
      <c r="A36">
        <v>34</v>
      </c>
      <c r="B36">
        <v>45</v>
      </c>
      <c r="C36">
        <v>110</v>
      </c>
      <c r="D36">
        <v>68</v>
      </c>
      <c r="E36" t="str">
        <f t="shared" si="0"/>
        <v>Premium</v>
      </c>
    </row>
    <row r="37" spans="1:5" x14ac:dyDescent="0.35">
      <c r="A37">
        <v>35</v>
      </c>
      <c r="B37">
        <v>33</v>
      </c>
      <c r="C37">
        <v>54</v>
      </c>
      <c r="D37">
        <v>55</v>
      </c>
      <c r="E37" t="str">
        <f t="shared" si="0"/>
        <v>Standard</v>
      </c>
    </row>
    <row r="38" spans="1:5" x14ac:dyDescent="0.35">
      <c r="A38">
        <v>36</v>
      </c>
      <c r="B38">
        <v>32</v>
      </c>
      <c r="C38">
        <v>84</v>
      </c>
      <c r="D38">
        <v>75</v>
      </c>
      <c r="E38" t="str">
        <f t="shared" si="0"/>
        <v>Premium</v>
      </c>
    </row>
    <row r="39" spans="1:5" x14ac:dyDescent="0.35">
      <c r="A39">
        <v>37</v>
      </c>
      <c r="B39">
        <v>64</v>
      </c>
      <c r="C39">
        <v>118</v>
      </c>
      <c r="D39">
        <v>56</v>
      </c>
      <c r="E39" t="str">
        <f t="shared" si="0"/>
        <v>Standard</v>
      </c>
    </row>
    <row r="40" spans="1:5" x14ac:dyDescent="0.35">
      <c r="A40">
        <v>38</v>
      </c>
      <c r="B40">
        <v>68</v>
      </c>
      <c r="C40">
        <v>66</v>
      </c>
      <c r="D40">
        <v>17</v>
      </c>
      <c r="E40" t="str">
        <f t="shared" si="0"/>
        <v>Low Value</v>
      </c>
    </row>
    <row r="41" spans="1:5" x14ac:dyDescent="0.35">
      <c r="A41">
        <v>39</v>
      </c>
      <c r="B41">
        <v>61</v>
      </c>
      <c r="C41">
        <v>97</v>
      </c>
      <c r="D41">
        <v>38</v>
      </c>
      <c r="E41" t="str">
        <f t="shared" si="0"/>
        <v>Standard</v>
      </c>
    </row>
    <row r="42" spans="1:5" x14ac:dyDescent="0.35">
      <c r="A42">
        <v>40</v>
      </c>
      <c r="B42">
        <v>69</v>
      </c>
      <c r="C42">
        <v>22</v>
      </c>
      <c r="D42">
        <v>24</v>
      </c>
      <c r="E42" t="str">
        <f t="shared" si="0"/>
        <v>Low Value</v>
      </c>
    </row>
    <row r="43" spans="1:5" x14ac:dyDescent="0.35">
      <c r="A43">
        <v>41</v>
      </c>
      <c r="B43">
        <v>20</v>
      </c>
      <c r="C43">
        <v>20</v>
      </c>
      <c r="D43">
        <v>69</v>
      </c>
      <c r="E43" t="str">
        <f t="shared" si="0"/>
        <v>Premium</v>
      </c>
    </row>
    <row r="44" spans="1:5" x14ac:dyDescent="0.35">
      <c r="A44">
        <v>42</v>
      </c>
      <c r="B44">
        <v>54</v>
      </c>
      <c r="C44">
        <v>24</v>
      </c>
      <c r="D44">
        <v>98</v>
      </c>
      <c r="E44" t="str">
        <f t="shared" si="0"/>
        <v>Premium</v>
      </c>
    </row>
    <row r="45" spans="1:5" x14ac:dyDescent="0.35">
      <c r="A45">
        <v>43</v>
      </c>
      <c r="B45">
        <v>68</v>
      </c>
      <c r="C45">
        <v>109</v>
      </c>
      <c r="D45">
        <v>70</v>
      </c>
      <c r="E45" t="str">
        <f t="shared" si="0"/>
        <v>Premium</v>
      </c>
    </row>
    <row r="46" spans="1:5" x14ac:dyDescent="0.35">
      <c r="A46">
        <v>44</v>
      </c>
      <c r="B46">
        <v>24</v>
      </c>
      <c r="C46">
        <v>33</v>
      </c>
      <c r="D46">
        <v>86</v>
      </c>
      <c r="E46" t="str">
        <f t="shared" si="0"/>
        <v>Premium</v>
      </c>
    </row>
    <row r="47" spans="1:5" x14ac:dyDescent="0.35">
      <c r="A47">
        <v>45</v>
      </c>
      <c r="B47">
        <v>38</v>
      </c>
      <c r="C47">
        <v>46</v>
      </c>
      <c r="D47">
        <v>11</v>
      </c>
      <c r="E47" t="str">
        <f t="shared" si="0"/>
        <v>Low Value</v>
      </c>
    </row>
    <row r="48" spans="1:5" x14ac:dyDescent="0.35">
      <c r="A48">
        <v>46</v>
      </c>
      <c r="B48">
        <v>26</v>
      </c>
      <c r="C48">
        <v>28</v>
      </c>
      <c r="D48">
        <v>16</v>
      </c>
      <c r="E48" t="str">
        <f t="shared" si="0"/>
        <v>Low Value</v>
      </c>
    </row>
    <row r="49" spans="1:5" x14ac:dyDescent="0.35">
      <c r="A49">
        <v>47</v>
      </c>
      <c r="B49">
        <v>56</v>
      </c>
      <c r="C49">
        <v>98</v>
      </c>
      <c r="D49">
        <v>97</v>
      </c>
      <c r="E49" t="str">
        <f t="shared" si="0"/>
        <v>Premium</v>
      </c>
    </row>
    <row r="50" spans="1:5" x14ac:dyDescent="0.35">
      <c r="A50">
        <v>48</v>
      </c>
      <c r="B50">
        <v>35</v>
      </c>
      <c r="C50">
        <v>34</v>
      </c>
      <c r="D50">
        <v>73</v>
      </c>
      <c r="E50" t="str">
        <f t="shared" si="0"/>
        <v>Premium</v>
      </c>
    </row>
    <row r="51" spans="1:5" x14ac:dyDescent="0.35">
      <c r="A51">
        <v>49</v>
      </c>
      <c r="B51">
        <v>21</v>
      </c>
      <c r="C51">
        <v>109</v>
      </c>
      <c r="D51">
        <v>59</v>
      </c>
      <c r="E51" t="str">
        <f t="shared" si="0"/>
        <v>Standard</v>
      </c>
    </row>
    <row r="52" spans="1:5" x14ac:dyDescent="0.35">
      <c r="A52">
        <v>50</v>
      </c>
      <c r="B52">
        <v>42</v>
      </c>
      <c r="C52">
        <v>61</v>
      </c>
      <c r="D52">
        <v>70</v>
      </c>
      <c r="E52" t="str">
        <f t="shared" si="0"/>
        <v>Premium</v>
      </c>
    </row>
    <row r="53" spans="1:5" x14ac:dyDescent="0.35">
      <c r="A53">
        <v>51</v>
      </c>
      <c r="B53">
        <v>31</v>
      </c>
      <c r="C53">
        <v>96</v>
      </c>
      <c r="D53">
        <v>80</v>
      </c>
      <c r="E53" t="str">
        <f t="shared" si="0"/>
        <v>Premium</v>
      </c>
    </row>
    <row r="54" spans="1:5" x14ac:dyDescent="0.35">
      <c r="A54">
        <v>52</v>
      </c>
      <c r="B54">
        <v>67</v>
      </c>
      <c r="C54">
        <v>70</v>
      </c>
      <c r="D54">
        <v>93</v>
      </c>
      <c r="E54" t="str">
        <f t="shared" si="0"/>
        <v>Premium</v>
      </c>
    </row>
    <row r="55" spans="1:5" x14ac:dyDescent="0.35">
      <c r="A55">
        <v>53</v>
      </c>
      <c r="B55">
        <v>26</v>
      </c>
      <c r="C55">
        <v>82</v>
      </c>
      <c r="D55">
        <v>3</v>
      </c>
      <c r="E55" t="str">
        <f t="shared" si="0"/>
        <v>Low Value</v>
      </c>
    </row>
    <row r="56" spans="1:5" x14ac:dyDescent="0.35">
      <c r="A56">
        <v>54</v>
      </c>
      <c r="B56">
        <v>43</v>
      </c>
      <c r="C56">
        <v>115</v>
      </c>
      <c r="D56">
        <v>20</v>
      </c>
      <c r="E56" t="str">
        <f t="shared" si="0"/>
        <v>Low Value</v>
      </c>
    </row>
    <row r="57" spans="1:5" x14ac:dyDescent="0.35">
      <c r="A57">
        <v>55</v>
      </c>
      <c r="B57">
        <v>19</v>
      </c>
      <c r="C57">
        <v>71</v>
      </c>
      <c r="D57">
        <v>59</v>
      </c>
      <c r="E57" t="str">
        <f t="shared" si="0"/>
        <v>Standard</v>
      </c>
    </row>
    <row r="58" spans="1:5" x14ac:dyDescent="0.35">
      <c r="A58">
        <v>56</v>
      </c>
      <c r="B58">
        <v>37</v>
      </c>
      <c r="C58">
        <v>115</v>
      </c>
      <c r="D58">
        <v>36</v>
      </c>
      <c r="E58" t="str">
        <f t="shared" si="0"/>
        <v>Standard</v>
      </c>
    </row>
    <row r="59" spans="1:5" x14ac:dyDescent="0.35">
      <c r="A59">
        <v>57</v>
      </c>
      <c r="B59">
        <v>45</v>
      </c>
      <c r="C59">
        <v>23</v>
      </c>
      <c r="D59">
        <v>19</v>
      </c>
      <c r="E59" t="str">
        <f t="shared" si="0"/>
        <v>Low Value</v>
      </c>
    </row>
    <row r="60" spans="1:5" x14ac:dyDescent="0.35">
      <c r="A60">
        <v>58</v>
      </c>
      <c r="B60">
        <v>64</v>
      </c>
      <c r="C60">
        <v>113</v>
      </c>
      <c r="D60">
        <v>90</v>
      </c>
      <c r="E60" t="str">
        <f t="shared" si="0"/>
        <v>Premium</v>
      </c>
    </row>
    <row r="61" spans="1:5" x14ac:dyDescent="0.35">
      <c r="A61">
        <v>59</v>
      </c>
      <c r="B61">
        <v>24</v>
      </c>
      <c r="C61">
        <v>42</v>
      </c>
      <c r="D61">
        <v>67</v>
      </c>
      <c r="E61" t="str">
        <f t="shared" si="0"/>
        <v>Premium</v>
      </c>
    </row>
    <row r="62" spans="1:5" x14ac:dyDescent="0.35">
      <c r="A62">
        <v>60</v>
      </c>
      <c r="B62">
        <v>61</v>
      </c>
      <c r="C62">
        <v>34</v>
      </c>
      <c r="D62">
        <v>19</v>
      </c>
      <c r="E62" t="str">
        <f t="shared" si="0"/>
        <v>Low Value</v>
      </c>
    </row>
    <row r="63" spans="1:5" x14ac:dyDescent="0.35">
      <c r="A63">
        <v>61</v>
      </c>
      <c r="B63">
        <v>25</v>
      </c>
      <c r="C63">
        <v>62</v>
      </c>
      <c r="D63">
        <v>20</v>
      </c>
      <c r="E63" t="str">
        <f t="shared" si="0"/>
        <v>Low Value</v>
      </c>
    </row>
    <row r="64" spans="1:5" x14ac:dyDescent="0.35">
      <c r="A64">
        <v>62</v>
      </c>
      <c r="B64">
        <v>64</v>
      </c>
      <c r="C64">
        <v>48</v>
      </c>
      <c r="D64">
        <v>96</v>
      </c>
      <c r="E64" t="str">
        <f t="shared" si="0"/>
        <v>Premium</v>
      </c>
    </row>
    <row r="65" spans="1:5" x14ac:dyDescent="0.35">
      <c r="A65">
        <v>63</v>
      </c>
      <c r="B65">
        <v>52</v>
      </c>
      <c r="C65">
        <v>55</v>
      </c>
      <c r="D65">
        <v>71</v>
      </c>
      <c r="E65" t="str">
        <f t="shared" si="0"/>
        <v>Premium</v>
      </c>
    </row>
    <row r="66" spans="1:5" x14ac:dyDescent="0.35">
      <c r="A66">
        <v>64</v>
      </c>
      <c r="B66">
        <v>31</v>
      </c>
      <c r="C66">
        <v>32</v>
      </c>
      <c r="D66">
        <v>52</v>
      </c>
      <c r="E66" t="str">
        <f t="shared" si="0"/>
        <v>Standard</v>
      </c>
    </row>
    <row r="67" spans="1:5" x14ac:dyDescent="0.35">
      <c r="A67">
        <v>65</v>
      </c>
      <c r="B67">
        <v>34</v>
      </c>
      <c r="C67">
        <v>51</v>
      </c>
      <c r="D67">
        <v>33</v>
      </c>
      <c r="E67" t="str">
        <f t="shared" si="0"/>
        <v>Standard</v>
      </c>
    </row>
    <row r="68" spans="1:5" x14ac:dyDescent="0.35">
      <c r="A68">
        <v>66</v>
      </c>
      <c r="B68">
        <v>53</v>
      </c>
      <c r="C68">
        <v>90</v>
      </c>
      <c r="D68">
        <v>40</v>
      </c>
      <c r="E68" t="str">
        <f t="shared" ref="E68:E102" si="1">IF(D68&lt;33,"Low Value",IF(D68&lt;66,"Standard","Premium"))</f>
        <v>Standard</v>
      </c>
    </row>
    <row r="69" spans="1:5" x14ac:dyDescent="0.35">
      <c r="A69">
        <v>67</v>
      </c>
      <c r="B69">
        <v>67</v>
      </c>
      <c r="C69">
        <v>78</v>
      </c>
      <c r="D69">
        <v>39</v>
      </c>
      <c r="E69" t="str">
        <f t="shared" si="1"/>
        <v>Standard</v>
      </c>
    </row>
    <row r="70" spans="1:5" x14ac:dyDescent="0.35">
      <c r="A70">
        <v>68</v>
      </c>
      <c r="B70">
        <v>57</v>
      </c>
      <c r="C70">
        <v>105</v>
      </c>
      <c r="D70">
        <v>82</v>
      </c>
      <c r="E70" t="str">
        <f t="shared" si="1"/>
        <v>Premium</v>
      </c>
    </row>
    <row r="71" spans="1:5" x14ac:dyDescent="0.35">
      <c r="A71">
        <v>69</v>
      </c>
      <c r="B71">
        <v>21</v>
      </c>
      <c r="C71">
        <v>47</v>
      </c>
      <c r="D71">
        <v>1</v>
      </c>
      <c r="E71" t="str">
        <f t="shared" si="1"/>
        <v>Low Value</v>
      </c>
    </row>
    <row r="72" spans="1:5" x14ac:dyDescent="0.35">
      <c r="A72">
        <v>70</v>
      </c>
      <c r="B72">
        <v>19</v>
      </c>
      <c r="C72">
        <v>85</v>
      </c>
      <c r="D72">
        <v>11</v>
      </c>
      <c r="E72" t="str">
        <f t="shared" si="1"/>
        <v>Low Value</v>
      </c>
    </row>
    <row r="73" spans="1:5" x14ac:dyDescent="0.35">
      <c r="A73">
        <v>71</v>
      </c>
      <c r="B73">
        <v>23</v>
      </c>
      <c r="C73">
        <v>61</v>
      </c>
      <c r="D73">
        <v>92</v>
      </c>
      <c r="E73" t="str">
        <f t="shared" si="1"/>
        <v>Premium</v>
      </c>
    </row>
    <row r="74" spans="1:5" x14ac:dyDescent="0.35">
      <c r="A74">
        <v>72</v>
      </c>
      <c r="B74">
        <v>59</v>
      </c>
      <c r="C74">
        <v>64</v>
      </c>
      <c r="D74">
        <v>57</v>
      </c>
      <c r="E74" t="str">
        <f t="shared" si="1"/>
        <v>Standard</v>
      </c>
    </row>
    <row r="75" spans="1:5" x14ac:dyDescent="0.35">
      <c r="A75">
        <v>73</v>
      </c>
      <c r="B75">
        <v>21</v>
      </c>
      <c r="C75">
        <v>81</v>
      </c>
      <c r="D75">
        <v>89</v>
      </c>
      <c r="E75" t="str">
        <f t="shared" si="1"/>
        <v>Premium</v>
      </c>
    </row>
    <row r="76" spans="1:5" x14ac:dyDescent="0.35">
      <c r="A76">
        <v>74</v>
      </c>
      <c r="B76">
        <v>46</v>
      </c>
      <c r="C76">
        <v>76</v>
      </c>
      <c r="D76">
        <v>50</v>
      </c>
      <c r="E76" t="str">
        <f t="shared" si="1"/>
        <v>Standard</v>
      </c>
    </row>
    <row r="77" spans="1:5" x14ac:dyDescent="0.35">
      <c r="A77">
        <v>75</v>
      </c>
      <c r="B77">
        <v>35</v>
      </c>
      <c r="C77">
        <v>25</v>
      </c>
      <c r="D77">
        <v>23</v>
      </c>
      <c r="E77" t="str">
        <f t="shared" si="1"/>
        <v>Low Value</v>
      </c>
    </row>
    <row r="78" spans="1:5" x14ac:dyDescent="0.35">
      <c r="A78">
        <v>76</v>
      </c>
      <c r="B78">
        <v>43</v>
      </c>
      <c r="C78">
        <v>47</v>
      </c>
      <c r="D78">
        <v>31</v>
      </c>
      <c r="E78" t="str">
        <f t="shared" si="1"/>
        <v>Low Value</v>
      </c>
    </row>
    <row r="79" spans="1:5" x14ac:dyDescent="0.35">
      <c r="A79">
        <v>77</v>
      </c>
      <c r="B79">
        <v>61</v>
      </c>
      <c r="C79">
        <v>47</v>
      </c>
      <c r="D79">
        <v>94</v>
      </c>
      <c r="E79" t="str">
        <f t="shared" si="1"/>
        <v>Premium</v>
      </c>
    </row>
    <row r="80" spans="1:5" x14ac:dyDescent="0.35">
      <c r="A80">
        <v>78</v>
      </c>
      <c r="B80">
        <v>51</v>
      </c>
      <c r="C80">
        <v>63</v>
      </c>
      <c r="D80">
        <v>42</v>
      </c>
      <c r="E80" t="str">
        <f t="shared" si="1"/>
        <v>Standard</v>
      </c>
    </row>
    <row r="81" spans="1:5" x14ac:dyDescent="0.35">
      <c r="A81">
        <v>79</v>
      </c>
      <c r="B81">
        <v>27</v>
      </c>
      <c r="C81">
        <v>103</v>
      </c>
      <c r="D81">
        <v>99</v>
      </c>
      <c r="E81" t="str">
        <f t="shared" si="1"/>
        <v>Premium</v>
      </c>
    </row>
    <row r="82" spans="1:5" x14ac:dyDescent="0.35">
      <c r="A82">
        <v>80</v>
      </c>
      <c r="B82">
        <v>53</v>
      </c>
      <c r="C82">
        <v>49</v>
      </c>
      <c r="D82">
        <v>7</v>
      </c>
      <c r="E82" t="str">
        <f t="shared" si="1"/>
        <v>Low Value</v>
      </c>
    </row>
    <row r="83" spans="1:5" x14ac:dyDescent="0.35">
      <c r="A83">
        <v>81</v>
      </c>
      <c r="B83">
        <v>31</v>
      </c>
      <c r="C83">
        <v>81</v>
      </c>
      <c r="D83">
        <v>16</v>
      </c>
      <c r="E83" t="str">
        <f t="shared" si="1"/>
        <v>Low Value</v>
      </c>
    </row>
    <row r="84" spans="1:5" x14ac:dyDescent="0.35">
      <c r="A84">
        <v>82</v>
      </c>
      <c r="B84">
        <v>48</v>
      </c>
      <c r="C84">
        <v>94</v>
      </c>
      <c r="D84">
        <v>90</v>
      </c>
      <c r="E84" t="str">
        <f t="shared" si="1"/>
        <v>Premium</v>
      </c>
    </row>
    <row r="85" spans="1:5" x14ac:dyDescent="0.35">
      <c r="A85">
        <v>83</v>
      </c>
      <c r="B85">
        <v>65</v>
      </c>
      <c r="C85">
        <v>111</v>
      </c>
      <c r="D85">
        <v>60</v>
      </c>
      <c r="E85" t="str">
        <f t="shared" si="1"/>
        <v>Standard</v>
      </c>
    </row>
    <row r="86" spans="1:5" x14ac:dyDescent="0.35">
      <c r="A86">
        <v>84</v>
      </c>
      <c r="B86">
        <v>32</v>
      </c>
      <c r="C86">
        <v>108</v>
      </c>
      <c r="D86">
        <v>2</v>
      </c>
      <c r="E86" t="str">
        <f t="shared" si="1"/>
        <v>Low Value</v>
      </c>
    </row>
    <row r="87" spans="1:5" x14ac:dyDescent="0.35">
      <c r="A87">
        <v>85</v>
      </c>
      <c r="B87">
        <v>25</v>
      </c>
      <c r="C87">
        <v>81</v>
      </c>
      <c r="D87">
        <v>1</v>
      </c>
      <c r="E87" t="str">
        <f t="shared" si="1"/>
        <v>Low Value</v>
      </c>
    </row>
    <row r="88" spans="1:5" x14ac:dyDescent="0.35">
      <c r="A88">
        <v>86</v>
      </c>
      <c r="B88">
        <v>31</v>
      </c>
      <c r="C88">
        <v>116</v>
      </c>
      <c r="D88">
        <v>48</v>
      </c>
      <c r="E88" t="str">
        <f t="shared" si="1"/>
        <v>Standard</v>
      </c>
    </row>
    <row r="89" spans="1:5" x14ac:dyDescent="0.35">
      <c r="A89">
        <v>87</v>
      </c>
      <c r="B89">
        <v>40</v>
      </c>
      <c r="C89">
        <v>20</v>
      </c>
      <c r="D89">
        <v>12</v>
      </c>
      <c r="E89" t="str">
        <f t="shared" si="1"/>
        <v>Low Value</v>
      </c>
    </row>
    <row r="90" spans="1:5" x14ac:dyDescent="0.35">
      <c r="A90">
        <v>88</v>
      </c>
      <c r="B90">
        <v>57</v>
      </c>
      <c r="C90">
        <v>46</v>
      </c>
      <c r="D90">
        <v>69</v>
      </c>
      <c r="E90" t="str">
        <f t="shared" si="1"/>
        <v>Premium</v>
      </c>
    </row>
    <row r="91" spans="1:5" x14ac:dyDescent="0.35">
      <c r="A91">
        <v>89</v>
      </c>
      <c r="B91">
        <v>38</v>
      </c>
      <c r="C91">
        <v>81</v>
      </c>
      <c r="D91">
        <v>37</v>
      </c>
      <c r="E91" t="str">
        <f t="shared" si="1"/>
        <v>Standard</v>
      </c>
    </row>
    <row r="92" spans="1:5" x14ac:dyDescent="0.35">
      <c r="A92">
        <v>90</v>
      </c>
      <c r="B92">
        <v>33</v>
      </c>
      <c r="C92">
        <v>96</v>
      </c>
      <c r="D92">
        <v>32</v>
      </c>
      <c r="E92" t="str">
        <f t="shared" si="1"/>
        <v>Low Value</v>
      </c>
    </row>
    <row r="93" spans="1:5" x14ac:dyDescent="0.35">
      <c r="A93">
        <v>91</v>
      </c>
      <c r="B93">
        <v>62</v>
      </c>
      <c r="C93">
        <v>22</v>
      </c>
      <c r="D93">
        <v>9</v>
      </c>
      <c r="E93" t="str">
        <f t="shared" si="1"/>
        <v>Low Value</v>
      </c>
    </row>
    <row r="94" spans="1:5" x14ac:dyDescent="0.35">
      <c r="A94">
        <v>92</v>
      </c>
      <c r="B94">
        <v>35</v>
      </c>
      <c r="C94">
        <v>89</v>
      </c>
      <c r="D94">
        <v>99</v>
      </c>
      <c r="E94" t="str">
        <f t="shared" si="1"/>
        <v>Premium</v>
      </c>
    </row>
    <row r="95" spans="1:5" x14ac:dyDescent="0.35">
      <c r="A95">
        <v>93</v>
      </c>
      <c r="B95">
        <v>64</v>
      </c>
      <c r="C95">
        <v>91</v>
      </c>
      <c r="D95">
        <v>19</v>
      </c>
      <c r="E95" t="str">
        <f t="shared" si="1"/>
        <v>Low Value</v>
      </c>
    </row>
    <row r="96" spans="1:5" x14ac:dyDescent="0.35">
      <c r="A96">
        <v>94</v>
      </c>
      <c r="B96">
        <v>41</v>
      </c>
      <c r="C96">
        <v>46</v>
      </c>
      <c r="D96">
        <v>48</v>
      </c>
      <c r="E96" t="str">
        <f t="shared" si="1"/>
        <v>Standard</v>
      </c>
    </row>
    <row r="97" spans="1:5" x14ac:dyDescent="0.35">
      <c r="A97">
        <v>95</v>
      </c>
      <c r="B97">
        <v>43</v>
      </c>
      <c r="C97">
        <v>28</v>
      </c>
      <c r="D97">
        <v>80</v>
      </c>
      <c r="E97" t="str">
        <f t="shared" si="1"/>
        <v>Premium</v>
      </c>
    </row>
    <row r="98" spans="1:5" x14ac:dyDescent="0.35">
      <c r="A98">
        <v>96</v>
      </c>
      <c r="B98">
        <v>42</v>
      </c>
      <c r="C98">
        <v>81</v>
      </c>
      <c r="D98">
        <v>3</v>
      </c>
      <c r="E98" t="str">
        <f t="shared" si="1"/>
        <v>Low Value</v>
      </c>
    </row>
    <row r="99" spans="1:5" x14ac:dyDescent="0.35">
      <c r="A99">
        <v>97</v>
      </c>
      <c r="B99">
        <v>62</v>
      </c>
      <c r="C99">
        <v>56</v>
      </c>
      <c r="D99">
        <v>20</v>
      </c>
      <c r="E99" t="str">
        <f t="shared" si="1"/>
        <v>Low Value</v>
      </c>
    </row>
    <row r="100" spans="1:5" x14ac:dyDescent="0.35">
      <c r="A100">
        <v>98</v>
      </c>
      <c r="B100">
        <v>58</v>
      </c>
      <c r="C100">
        <v>116</v>
      </c>
      <c r="D100">
        <v>24</v>
      </c>
      <c r="E100" t="str">
        <f t="shared" si="1"/>
        <v>Low Value</v>
      </c>
    </row>
    <row r="101" spans="1:5" x14ac:dyDescent="0.35">
      <c r="A101">
        <v>99</v>
      </c>
      <c r="B101">
        <v>46</v>
      </c>
      <c r="C101">
        <v>70</v>
      </c>
      <c r="D101">
        <v>54</v>
      </c>
      <c r="E101" t="str">
        <f t="shared" si="1"/>
        <v>Standard</v>
      </c>
    </row>
    <row r="102" spans="1:5" x14ac:dyDescent="0.35">
      <c r="A102">
        <v>100</v>
      </c>
      <c r="B102">
        <v>32</v>
      </c>
      <c r="C102">
        <v>63</v>
      </c>
      <c r="D102">
        <v>33</v>
      </c>
      <c r="E102" t="str">
        <f t="shared" si="1"/>
        <v>Standard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05"/>
  <sheetViews>
    <sheetView showGridLines="0" zoomScale="150" zoomScaleNormal="150" workbookViewId="0">
      <selection activeCell="C25" sqref="C25"/>
    </sheetView>
  </sheetViews>
  <sheetFormatPr defaultColWidth="8.81640625" defaultRowHeight="14.5" x14ac:dyDescent="0.35"/>
  <cols>
    <col min="1" max="1" width="2.453125" customWidth="1"/>
    <col min="4" max="4" width="20.6328125" customWidth="1"/>
    <col min="5" max="5" width="17.36328125" customWidth="1"/>
    <col min="13" max="13" width="10.90625" customWidth="1"/>
  </cols>
  <sheetData>
    <row r="2" spans="2:13" x14ac:dyDescent="0.35">
      <c r="B2" s="3" t="s">
        <v>6</v>
      </c>
      <c r="C2">
        <f>AVERAGE('01 - Original Data'!B3:B102)</f>
        <v>43.35</v>
      </c>
      <c r="D2">
        <f>AVERAGE('01 - Original Data'!C3:C102)</f>
        <v>67.88</v>
      </c>
      <c r="E2">
        <f>AVERAGE('01 - Original Data'!D3:D102)</f>
        <v>48.8</v>
      </c>
    </row>
    <row r="3" spans="2:13" x14ac:dyDescent="0.35">
      <c r="B3" s="3" t="s">
        <v>7</v>
      </c>
      <c r="C3" s="5">
        <f>STDEV('01 - Original Data'!B3:B102)</f>
        <v>14.904663360807245</v>
      </c>
      <c r="D3" s="5">
        <f>STDEV('01 - Original Data'!C3:C102)</f>
        <v>30.044169504449965</v>
      </c>
      <c r="E3" s="5">
        <f>STDEV('01 - Original Data'!D3:D102)</f>
        <v>31.101658015500256</v>
      </c>
    </row>
    <row r="4" spans="2:13" ht="15" thickBot="1" x14ac:dyDescent="0.4"/>
    <row r="5" spans="2:13" ht="15" thickBot="1" x14ac:dyDescent="0.4">
      <c r="C5" s="25" t="s">
        <v>1</v>
      </c>
      <c r="D5" s="25" t="s">
        <v>2</v>
      </c>
      <c r="E5" s="25" t="s">
        <v>3</v>
      </c>
      <c r="G5" s="22" t="s">
        <v>25</v>
      </c>
      <c r="H5" s="23"/>
      <c r="I5" s="23"/>
      <c r="J5" s="23"/>
      <c r="K5" s="23"/>
      <c r="L5" s="23"/>
      <c r="M5" s="24"/>
    </row>
    <row r="6" spans="2:13" x14ac:dyDescent="0.35">
      <c r="C6" s="4">
        <f>('01 - Original Data'!B3-'02 - Scaled Data'!$C$2)/'02 - Scaled Data'!$C$3</f>
        <v>0.84872765615518519</v>
      </c>
      <c r="D6" s="4">
        <f>('01 - Original Data'!C3-'02 - Scaled Data'!$D$2)/'02 - Scaled Data'!$D$3</f>
        <v>-0.12914319363779761</v>
      </c>
      <c r="E6" s="4">
        <f>('01 - Original Data'!D3-'02 - Scaled Data'!$E$2)/'02 - Scaled Data'!$E$3</f>
        <v>-0.79738514222104573</v>
      </c>
      <c r="G6" s="16" t="s">
        <v>26</v>
      </c>
      <c r="H6" s="17"/>
      <c r="I6" s="17"/>
      <c r="J6" s="17"/>
      <c r="K6" s="17"/>
      <c r="L6" s="17"/>
      <c r="M6" s="18"/>
    </row>
    <row r="7" spans="2:13" x14ac:dyDescent="0.35">
      <c r="C7" s="4">
        <f>('01 - Original Data'!B4-'02 - Scaled Data'!$C$2)/'02 - Scaled Data'!$C$3</f>
        <v>1.7209378956822532</v>
      </c>
      <c r="D7" s="4">
        <f>('01 - Original Data'!C4-'02 - Scaled Data'!$D$2)/'02 - Scaled Data'!$D$3</f>
        <v>0.53654337150548981</v>
      </c>
      <c r="E7" s="4">
        <f>('01 - Original Data'!D4-'02 - Scaled Data'!$E$2)/'02 - Scaled Data'!$E$3</f>
        <v>0.97100932641433813</v>
      </c>
      <c r="G7" s="16" t="s">
        <v>27</v>
      </c>
      <c r="H7" s="17"/>
      <c r="I7" s="17"/>
      <c r="J7" s="17"/>
      <c r="K7" s="17"/>
      <c r="L7" s="17"/>
      <c r="M7" s="18"/>
    </row>
    <row r="8" spans="2:13" x14ac:dyDescent="0.35">
      <c r="C8" s="4">
        <f>('01 - Original Data'!B5-'02 - Scaled Data'!$C$2)/'02 - Scaled Data'!$C$3</f>
        <v>0.1777967026728253</v>
      </c>
      <c r="D8" s="4">
        <f>('01 - Original Data'!C5-'02 - Scaled Data'!$D$2)/'02 - Scaled Data'!$D$3</f>
        <v>1.3353672496774347</v>
      </c>
      <c r="E8" s="4">
        <f>('01 - Original Data'!D5-'02 - Scaled Data'!$E$2)/'02 - Scaled Data'!$E$3</f>
        <v>0.32795679236510761</v>
      </c>
      <c r="G8" s="16" t="s">
        <v>28</v>
      </c>
      <c r="H8" s="17"/>
      <c r="I8" s="17"/>
      <c r="J8" s="17"/>
      <c r="K8" s="17"/>
      <c r="L8" s="17"/>
      <c r="M8" s="18"/>
    </row>
    <row r="9" spans="2:13" ht="15" thickBot="1" x14ac:dyDescent="0.4">
      <c r="C9" s="4">
        <f>('01 - Original Data'!B6-'02 - Scaled Data'!$C$2)/'02 - Scaled Data'!$C$3</f>
        <v>-0.76150663220247861</v>
      </c>
      <c r="D9" s="4">
        <f>('01 - Original Data'!C6-'02 - Scaled Data'!$D$2)/'02 - Scaled Data'!$D$3</f>
        <v>0.73624934104847606</v>
      </c>
      <c r="E9" s="4">
        <f>('01 - Original Data'!D6-'02 - Scaled Data'!$E$2)/'02 - Scaled Data'!$E$3</f>
        <v>-0.54016412860135354</v>
      </c>
      <c r="G9" s="19" t="s">
        <v>29</v>
      </c>
      <c r="H9" s="20"/>
      <c r="I9" s="20"/>
      <c r="J9" s="20"/>
      <c r="K9" s="20"/>
      <c r="L9" s="20"/>
      <c r="M9" s="21"/>
    </row>
    <row r="10" spans="2:13" x14ac:dyDescent="0.35">
      <c r="C10" s="4">
        <f>('01 - Original Data'!B7-'02 - Scaled Data'!$C$2)/'02 - Scaled Data'!$C$3</f>
        <v>1.1171000375481293</v>
      </c>
      <c r="D10" s="4">
        <f>('01 - Original Data'!C7-'02 - Scaled Data'!$D$2)/'02 - Scaled Data'!$D$3</f>
        <v>-1.3273790108957149</v>
      </c>
      <c r="E10" s="4">
        <f>('01 - Original Data'!D7-'02 - Scaled Data'!$E$2)/'02 - Scaled Data'!$E$3</f>
        <v>1.517603980356184</v>
      </c>
    </row>
    <row r="11" spans="2:13" x14ac:dyDescent="0.35">
      <c r="C11" s="4">
        <f>('01 - Original Data'!B8-'02 - Scaled Data'!$C$2)/'02 - Scaled Data'!$C$3</f>
        <v>-1.2311582996401307</v>
      </c>
      <c r="D11" s="4">
        <f>('01 - Original Data'!C8-'02 - Scaled Data'!$D$2)/'02 - Scaled Data'!$D$3</f>
        <v>1.3020829214202703</v>
      </c>
      <c r="E11" s="4">
        <f>('01 - Original Data'!D8-'02 - Scaled Data'!$E$2)/'02 - Scaled Data'!$E$3</f>
        <v>1.2603829667364919</v>
      </c>
      <c r="G11" s="15" t="s">
        <v>30</v>
      </c>
      <c r="H11" s="15"/>
    </row>
    <row r="12" spans="2:13" x14ac:dyDescent="0.35">
      <c r="C12" s="4">
        <f>('01 - Original Data'!B9-'02 - Scaled Data'!$C$2)/'02 - Scaled Data'!$C$3</f>
        <v>-0.35894806011306268</v>
      </c>
      <c r="D12" s="4">
        <f>('01 - Original Data'!C9-'02 - Scaled Data'!$D$2)/'02 - Scaled Data'!$D$3</f>
        <v>-1.5936536369530299</v>
      </c>
      <c r="E12" s="4">
        <f>('01 - Original Data'!D9-'02 - Scaled Data'!$E$2)/'02 - Scaled Data'!$E$3</f>
        <v>0.10288840544787696</v>
      </c>
      <c r="G12" t="s">
        <v>31</v>
      </c>
    </row>
    <row r="13" spans="2:13" x14ac:dyDescent="0.35">
      <c r="C13" s="4">
        <f>('01 - Original Data'!B10-'02 - Scaled Data'!$C$2)/'02 - Scaled Data'!$C$3</f>
        <v>0.84872765615518519</v>
      </c>
      <c r="D13" s="4">
        <f>('01 - Original Data'!C10-'02 - Scaled Data'!$D$2)/'02 - Scaled Data'!$D$3</f>
        <v>-1.3606633391528793</v>
      </c>
      <c r="E13" s="4">
        <f>('01 - Original Data'!D10-'02 - Scaled Data'!$E$2)/'02 - Scaled Data'!$E$3</f>
        <v>0.4244146724724922</v>
      </c>
    </row>
    <row r="14" spans="2:13" x14ac:dyDescent="0.35">
      <c r="C14" s="4">
        <f>('01 - Original Data'!B11-'02 - Scaled Data'!$C$2)/'02 - Scaled Data'!$C$3</f>
        <v>-0.49313425080953466</v>
      </c>
      <c r="D14" s="4">
        <f>('01 - Original Data'!C11-'02 - Scaled Data'!$D$2)/'02 - Scaled Data'!$D$3</f>
        <v>1.3020829214202703</v>
      </c>
      <c r="E14" s="4">
        <f>('01 - Original Data'!D11-'02 - Scaled Data'!$E$2)/'02 - Scaled Data'!$E$3</f>
        <v>0.29580416566264611</v>
      </c>
    </row>
    <row r="15" spans="2:13" x14ac:dyDescent="0.35">
      <c r="C15" s="4">
        <f>('01 - Original Data'!B12-'02 - Scaled Data'!$C$2)/'02 - Scaled Data'!$C$3</f>
        <v>-0.22476186941659068</v>
      </c>
      <c r="D15" s="4">
        <f>('01 - Original Data'!C12-'02 - Scaled Data'!$D$2)/'02 - Scaled Data'!$D$3</f>
        <v>0.46997471499116106</v>
      </c>
      <c r="E15" s="4">
        <f>('01 - Original Data'!D12-'02 - Scaled Data'!$E$2)/'02 - Scaled Data'!$E$3</f>
        <v>0.10288840544787696</v>
      </c>
    </row>
    <row r="16" spans="2:13" x14ac:dyDescent="0.35">
      <c r="C16" s="4">
        <f>('01 - Original Data'!B13-'02 - Scaled Data'!$C$2)/'02 - Scaled Data'!$C$3</f>
        <v>-1.0298790135954226</v>
      </c>
      <c r="D16" s="4">
        <f>('01 - Original Data'!C13-'02 - Scaled Data'!$D$2)/'02 - Scaled Data'!$D$3</f>
        <v>-1.2608103543813862</v>
      </c>
      <c r="E16" s="4">
        <f>('01 - Original Data'!D13-'02 - Scaled Data'!$E$2)/'02 - Scaled Data'!$E$3</f>
        <v>-1.183216662650584</v>
      </c>
    </row>
    <row r="17" spans="3:5" x14ac:dyDescent="0.35">
      <c r="C17" s="4">
        <f>('01 - Original Data'!B14-'02 - Scaled Data'!$C$2)/'02 - Scaled Data'!$C$3</f>
        <v>-1.0298790135954226</v>
      </c>
      <c r="D17" s="4">
        <f>('01 - Original Data'!C14-'02 - Scaled Data'!$D$2)/'02 - Scaled Data'!$D$3</f>
        <v>1.0690926236201197</v>
      </c>
      <c r="E17" s="4">
        <f>('01 - Original Data'!D14-'02 - Scaled Data'!$E$2)/'02 - Scaled Data'!$E$3</f>
        <v>-0.31509574168412285</v>
      </c>
    </row>
    <row r="18" spans="3:5" x14ac:dyDescent="0.35">
      <c r="C18" s="4">
        <f>('01 - Original Data'!B15-'02 - Scaled Data'!$C$2)/'02 - Scaled Data'!$C$3</f>
        <v>-0.15766877406835467</v>
      </c>
      <c r="D18" s="4">
        <f>('01 - Original Data'!C15-'02 - Scaled Data'!$D$2)/'02 - Scaled Data'!$D$3</f>
        <v>-1.3606633391528793</v>
      </c>
      <c r="E18" s="4">
        <f>('01 - Original Data'!D15-'02 - Scaled Data'!$E$2)/'02 - Scaled Data'!$E$3</f>
        <v>-1.5047429296751993</v>
      </c>
    </row>
    <row r="19" spans="3:5" x14ac:dyDescent="0.35">
      <c r="C19" s="4">
        <f>('01 - Original Data'!B16-'02 - Scaled Data'!$C$2)/'02 - Scaled Data'!$C$3</f>
        <v>0.64744837011047729</v>
      </c>
      <c r="D19" s="4">
        <f>('01 - Original Data'!C16-'02 - Scaled Data'!$D$2)/'02 - Scaled Data'!$D$3</f>
        <v>-0.46198647620944128</v>
      </c>
      <c r="E19" s="4">
        <f>('01 - Original Data'!D16-'02 - Scaled Data'!$E$2)/'02 - Scaled Data'!$E$3</f>
        <v>-1.4725903029727376</v>
      </c>
    </row>
    <row r="20" spans="3:5" x14ac:dyDescent="0.35">
      <c r="C20" s="4">
        <f>('01 - Original Data'!B17-'02 - Scaled Data'!$C$2)/'02 - Scaled Data'!$C$3</f>
        <v>0.91582075150342124</v>
      </c>
      <c r="D20" s="4">
        <f>('01 - Original Data'!C17-'02 - Scaled Data'!$D$2)/'02 - Scaled Data'!$D$3</f>
        <v>-0.46198647620944128</v>
      </c>
      <c r="E20" s="4">
        <f>('01 - Original Data'!D17-'02 - Scaled Data'!$E$2)/'02 - Scaled Data'!$E$3</f>
        <v>0.23149891225772307</v>
      </c>
    </row>
    <row r="21" spans="3:5" x14ac:dyDescent="0.35">
      <c r="C21" s="4">
        <f>('01 - Original Data'!B18-'02 - Scaled Data'!$C$2)/'02 - Scaled Data'!$C$3</f>
        <v>-0.15766877406835467</v>
      </c>
      <c r="D21" s="4">
        <f>('01 - Original Data'!C18-'02 - Scaled Data'!$D$2)/'02 - Scaled Data'!$D$3</f>
        <v>-0.52855513272377008</v>
      </c>
      <c r="E21" s="4">
        <f>('01 - Original Data'!D18-'02 - Scaled Data'!$E$2)/'02 - Scaled Data'!$E$3</f>
        <v>1.0353145798192611</v>
      </c>
    </row>
    <row r="22" spans="3:5" x14ac:dyDescent="0.35">
      <c r="C22" s="4">
        <f>('01 - Original Data'!B19-'02 - Scaled Data'!$C$2)/'02 - Scaled Data'!$C$3</f>
        <v>-1.5666237763813105</v>
      </c>
      <c r="D22" s="4">
        <f>('01 - Original Data'!C19-'02 - Scaled Data'!$D$2)/'02 - Scaled Data'!$D$3</f>
        <v>-1.4605163239243724</v>
      </c>
      <c r="E22" s="4">
        <f>('01 - Original Data'!D19-'02 - Scaled Data'!$E$2)/'02 - Scaled Data'!$E$3</f>
        <v>0.32795679236510761</v>
      </c>
    </row>
    <row r="23" spans="3:5" x14ac:dyDescent="0.35">
      <c r="C23" s="4">
        <f>('01 - Original Data'!B20-'02 - Scaled Data'!$C$2)/'02 - Scaled Data'!$C$3</f>
        <v>-0.29185496476482664</v>
      </c>
      <c r="D23" s="4">
        <f>('01 - Original Data'!C20-'02 - Scaled Data'!$D$2)/'02 - Scaled Data'!$D$3</f>
        <v>-0.26228050666645508</v>
      </c>
      <c r="E23" s="4">
        <f>('01 - Original Data'!D20-'02 - Scaled Data'!$E$2)/'02 - Scaled Data'!$E$3</f>
        <v>-1.5047429296751993</v>
      </c>
    </row>
    <row r="24" spans="3:5" x14ac:dyDescent="0.35">
      <c r="C24" s="4">
        <f>('01 - Original Data'!B21-'02 - Scaled Data'!$C$2)/'02 - Scaled Data'!$C$3</f>
        <v>-1.6337168717295465</v>
      </c>
      <c r="D24" s="4">
        <f>('01 - Original Data'!C21-'02 - Scaled Data'!$D$2)/'02 - Scaled Data'!$D$3</f>
        <v>-0.6949767740095919</v>
      </c>
      <c r="E24" s="4">
        <f>('01 - Original Data'!D21-'02 - Scaled Data'!$E$2)/'02 - Scaled Data'!$E$3</f>
        <v>-1.5047429296751993</v>
      </c>
    </row>
    <row r="25" spans="3:5" x14ac:dyDescent="0.35">
      <c r="C25" s="4">
        <f>('01 - Original Data'!B22-'02 - Scaled Data'!$C$2)/'02 - Scaled Data'!$C$3</f>
        <v>-0.15766877406835467</v>
      </c>
      <c r="D25" s="4">
        <f>('01 - Original Data'!C22-'02 - Scaled Data'!$D$2)/'02 - Scaled Data'!$D$3</f>
        <v>-1.3939476674100437</v>
      </c>
      <c r="E25" s="4">
        <f>('01 - Original Data'!D22-'02 - Scaled Data'!$E$2)/'02 - Scaled Data'!$E$3</f>
        <v>1.3889934735463378</v>
      </c>
    </row>
    <row r="26" spans="3:5" x14ac:dyDescent="0.35">
      <c r="C26" s="4">
        <f>('01 - Original Data'!B23-'02 - Scaled Data'!$C$2)/'02 - Scaled Data'!$C$3</f>
        <v>1.1841931328963653</v>
      </c>
      <c r="D26" s="4">
        <f>('01 - Original Data'!C23-'02 - Scaled Data'!$D$2)/'02 - Scaled Data'!$D$3</f>
        <v>0.8028179975628047</v>
      </c>
      <c r="E26" s="4">
        <f>('01 - Original Data'!D23-'02 - Scaled Data'!$E$2)/'02 - Scaled Data'!$E$3</f>
        <v>0.16719365885280002</v>
      </c>
    </row>
    <row r="27" spans="3:5" x14ac:dyDescent="0.35">
      <c r="C27" s="4">
        <f>('01 - Original Data'!B24-'02 - Scaled Data'!$C$2)/'02 - Scaled Data'!$C$3</f>
        <v>0.24488979802106128</v>
      </c>
      <c r="D27" s="4">
        <f>('01 - Original Data'!C24-'02 - Scaled Data'!$D$2)/'02 - Scaled Data'!$D$3</f>
        <v>0.76953366930564038</v>
      </c>
      <c r="E27" s="4">
        <f>('01 - Original Data'!D24-'02 - Scaled Data'!$E$2)/'02 - Scaled Data'!$E$3</f>
        <v>1.2282303400340302</v>
      </c>
    </row>
    <row r="28" spans="3:5" x14ac:dyDescent="0.35">
      <c r="C28" s="4">
        <f>('01 - Original Data'!B25-'02 - Scaled Data'!$C$2)/'02 - Scaled Data'!$C$3</f>
        <v>0.78163456080694926</v>
      </c>
      <c r="D28" s="4">
        <f>('01 - Original Data'!C25-'02 - Scaled Data'!$D$2)/'02 - Scaled Data'!$D$3</f>
        <v>-1.2275260261242218</v>
      </c>
      <c r="E28" s="4">
        <f>('01 - Original Data'!D25-'02 - Scaled Data'!$E$2)/'02 - Scaled Data'!$E$3</f>
        <v>1.517603980356184</v>
      </c>
    </row>
    <row r="29" spans="3:5" x14ac:dyDescent="0.35">
      <c r="C29" s="4">
        <f>('01 - Original Data'!B26-'02 - Scaled Data'!$C$2)/'02 - Scaled Data'!$C$3</f>
        <v>-1.6337168717295465</v>
      </c>
      <c r="D29" s="4">
        <f>('01 - Original Data'!C26-'02 - Scaled Data'!$D$2)/'02 - Scaled Data'!$D$3</f>
        <v>-0.49527080446660565</v>
      </c>
      <c r="E29" s="4">
        <f>('01 - Original Data'!D26-'02 - Scaled Data'!$E$2)/'02 - Scaled Data'!$E$3</f>
        <v>1.5497566070586455</v>
      </c>
    </row>
    <row r="30" spans="3:5" x14ac:dyDescent="0.35">
      <c r="C30" s="4">
        <f>('01 - Original Data'!B27-'02 - Scaled Data'!$C$2)/'02 - Scaled Data'!$C$3</f>
        <v>-0.35894806011306268</v>
      </c>
      <c r="D30" s="4">
        <f>('01 - Original Data'!C27-'02 - Scaled Data'!$D$2)/'02 - Scaled Data'!$D$3</f>
        <v>-0.52855513272377008</v>
      </c>
      <c r="E30" s="4">
        <f>('01 - Original Data'!D27-'02 - Scaled Data'!$E$2)/'02 - Scaled Data'!$E$3</f>
        <v>-1.5368955563776607</v>
      </c>
    </row>
    <row r="31" spans="3:5" x14ac:dyDescent="0.35">
      <c r="C31" s="4">
        <f>('01 - Original Data'!B28-'02 - Scaled Data'!$C$2)/'02 - Scaled Data'!$C$3</f>
        <v>0.44616908406576927</v>
      </c>
      <c r="D31" s="4">
        <f>('01 - Original Data'!C28-'02 - Scaled Data'!$D$2)/'02 - Scaled Data'!$D$3</f>
        <v>-2.9290208866304495E-2</v>
      </c>
      <c r="E31" s="4">
        <f>('01 - Original Data'!D28-'02 - Scaled Data'!$E$2)/'02 - Scaled Data'!$E$3</f>
        <v>-0.95814827573335326</v>
      </c>
    </row>
    <row r="32" spans="3:5" x14ac:dyDescent="0.35">
      <c r="C32" s="4">
        <f>('01 - Original Data'!B29-'02 - Scaled Data'!$C$2)/'02 - Scaled Data'!$C$3</f>
        <v>-0.96278591824718662</v>
      </c>
      <c r="D32" s="4">
        <f>('01 - Original Data'!C29-'02 - Scaled Data'!$D$2)/'02 - Scaled Data'!$D$3</f>
        <v>-0.86139841529541372</v>
      </c>
      <c r="E32" s="4">
        <f>('01 - Original Data'!D29-'02 - Scaled Data'!$E$2)/'02 - Scaled Data'!$E$3</f>
        <v>-1.5047429296751993</v>
      </c>
    </row>
    <row r="33" spans="3:5" x14ac:dyDescent="0.35">
      <c r="C33" s="4">
        <f>('01 - Original Data'!B30-'02 - Scaled Data'!$C$2)/'02 - Scaled Data'!$C$3</f>
        <v>-0.29185496476482664</v>
      </c>
      <c r="D33" s="4">
        <f>('01 - Original Data'!C30-'02 - Scaled Data'!$D$2)/'02 - Scaled Data'!$D$3</f>
        <v>0.43669038673399668</v>
      </c>
      <c r="E33" s="4">
        <f>('01 - Original Data'!D30-'02 - Scaled Data'!$E$2)/'02 - Scaled Data'!$E$3</f>
        <v>0.1350410321503385</v>
      </c>
    </row>
    <row r="34" spans="3:5" x14ac:dyDescent="0.35">
      <c r="C34" s="4">
        <f>('01 - Original Data'!B31-'02 - Scaled Data'!$C$2)/'02 - Scaled Data'!$C$3</f>
        <v>1.1841931328963653</v>
      </c>
      <c r="D34" s="4">
        <f>('01 - Original Data'!C31-'02 - Scaled Data'!$D$2)/'02 - Scaled Data'!$D$3</f>
        <v>1.3020829214202703</v>
      </c>
      <c r="E34" s="4">
        <f>('01 - Original Data'!D31-'02 - Scaled Data'!$E$2)/'02 - Scaled Data'!$E$3</f>
        <v>-0.15433260817181521</v>
      </c>
    </row>
    <row r="35" spans="3:5" x14ac:dyDescent="0.35">
      <c r="C35" s="4">
        <f>('01 - Original Data'!B32-'02 - Scaled Data'!$C$2)/'02 - Scaled Data'!$C$3</f>
        <v>-9.057567872011868E-2</v>
      </c>
      <c r="D35" s="4">
        <f>('01 - Original Data'!C32-'02 - Scaled Data'!$D$2)/'02 - Scaled Data'!$D$3</f>
        <v>-0.39541781969511258</v>
      </c>
      <c r="E35" s="4">
        <f>('01 - Original Data'!D32-'02 - Scaled Data'!$E$2)/'02 - Scaled Data'!$E$3</f>
        <v>1.324688220141415</v>
      </c>
    </row>
    <row r="36" spans="3:5" x14ac:dyDescent="0.35">
      <c r="C36" s="4">
        <f>('01 - Original Data'!B33-'02 - Scaled Data'!$C$2)/'02 - Scaled Data'!$C$3</f>
        <v>1.5196586096375451</v>
      </c>
      <c r="D36" s="4">
        <f>('01 - Original Data'!C33-'02 - Scaled Data'!$D$2)/'02 - Scaled Data'!$D$3</f>
        <v>1.6682105322490783</v>
      </c>
      <c r="E36" s="4">
        <f>('01 - Original Data'!D33-'02 - Scaled Data'!$E$2)/'02 - Scaled Data'!$E$3</f>
        <v>-0.54016412860135354</v>
      </c>
    </row>
    <row r="37" spans="3:5" x14ac:dyDescent="0.35">
      <c r="C37" s="4">
        <f>('01 - Original Data'!B34-'02 - Scaled Data'!$C$2)/'02 - Scaled Data'!$C$3</f>
        <v>4.3610511976353301E-2</v>
      </c>
      <c r="D37" s="4">
        <f>('01 - Original Data'!C34-'02 - Scaled Data'!$D$2)/'02 - Scaled Data'!$D$3</f>
        <v>-0.16242752189496198</v>
      </c>
      <c r="E37" s="4">
        <f>('01 - Original Data'!D34-'02 - Scaled Data'!$E$2)/'02 - Scaled Data'!$E$3</f>
        <v>0.68163568609218439</v>
      </c>
    </row>
    <row r="38" spans="3:5" x14ac:dyDescent="0.35">
      <c r="C38" s="4">
        <f>('01 - Original Data'!B35-'02 - Scaled Data'!$C$2)/'02 - Scaled Data'!$C$3</f>
        <v>1.0500069421998932</v>
      </c>
      <c r="D38" s="4">
        <f>('01 - Original Data'!C35-'02 - Scaled Data'!$D$2)/'02 - Scaled Data'!$D$3</f>
        <v>1.2355142649059416</v>
      </c>
      <c r="E38" s="4">
        <f>('01 - Original Data'!D35-'02 - Scaled Data'!$E$2)/'02 - Scaled Data'!$E$3</f>
        <v>-0.54016412860135354</v>
      </c>
    </row>
    <row r="39" spans="3:5" x14ac:dyDescent="0.35">
      <c r="C39" s="4">
        <f>('01 - Original Data'!B36-'02 - Scaled Data'!$C$2)/'02 - Scaled Data'!$C$3</f>
        <v>0.1107036073245893</v>
      </c>
      <c r="D39" s="4">
        <f>('01 - Original Data'!C36-'02 - Scaled Data'!$D$2)/'02 - Scaled Data'!$D$3</f>
        <v>1.4019359061917633</v>
      </c>
      <c r="E39" s="4">
        <f>('01 - Original Data'!D36-'02 - Scaled Data'!$E$2)/'02 - Scaled Data'!$E$3</f>
        <v>0.61733043268726129</v>
      </c>
    </row>
    <row r="40" spans="3:5" x14ac:dyDescent="0.35">
      <c r="C40" s="4">
        <f>('01 - Original Data'!B37-'02 - Scaled Data'!$C$2)/'02 - Scaled Data'!$C$3</f>
        <v>-0.69441353685424267</v>
      </c>
      <c r="D40" s="4">
        <f>('01 - Original Data'!C37-'02 - Scaled Data'!$D$2)/'02 - Scaled Data'!$D$3</f>
        <v>-0.46198647620944128</v>
      </c>
      <c r="E40" s="4">
        <f>('01 - Original Data'!D37-'02 - Scaled Data'!$E$2)/'02 - Scaled Data'!$E$3</f>
        <v>0.19934628555526154</v>
      </c>
    </row>
    <row r="41" spans="3:5" x14ac:dyDescent="0.35">
      <c r="C41" s="4">
        <f>('01 - Original Data'!B38-'02 - Scaled Data'!$C$2)/'02 - Scaled Data'!$C$3</f>
        <v>-0.76150663220247861</v>
      </c>
      <c r="D41" s="4">
        <f>('01 - Original Data'!C38-'02 - Scaled Data'!$D$2)/'02 - Scaled Data'!$D$3</f>
        <v>0.53654337150548981</v>
      </c>
      <c r="E41" s="4">
        <f>('01 - Original Data'!D38-'02 - Scaled Data'!$E$2)/'02 - Scaled Data'!$E$3</f>
        <v>0.84239881960449203</v>
      </c>
    </row>
    <row r="42" spans="3:5" x14ac:dyDescent="0.35">
      <c r="C42" s="4">
        <f>('01 - Original Data'!B39-'02 - Scaled Data'!$C$2)/'02 - Scaled Data'!$C$3</f>
        <v>1.3854724189410732</v>
      </c>
      <c r="D42" s="4">
        <f>('01 - Original Data'!C39-'02 - Scaled Data'!$D$2)/'02 - Scaled Data'!$D$3</f>
        <v>1.6682105322490783</v>
      </c>
      <c r="E42" s="4">
        <f>('01 - Original Data'!D39-'02 - Scaled Data'!$E$2)/'02 - Scaled Data'!$E$3</f>
        <v>0.23149891225772307</v>
      </c>
    </row>
    <row r="43" spans="3:5" x14ac:dyDescent="0.35">
      <c r="C43" s="4">
        <f>('01 - Original Data'!B40-'02 - Scaled Data'!$C$2)/'02 - Scaled Data'!$C$3</f>
        <v>1.6538448003340172</v>
      </c>
      <c r="D43" s="4">
        <f>('01 - Original Data'!C40-'02 - Scaled Data'!$D$2)/'02 - Scaled Data'!$D$3</f>
        <v>-6.257453712346886E-2</v>
      </c>
      <c r="E43" s="4">
        <f>('01 - Original Data'!D40-'02 - Scaled Data'!$E$2)/'02 - Scaled Data'!$E$3</f>
        <v>-1.0224535291382764</v>
      </c>
    </row>
    <row r="44" spans="3:5" x14ac:dyDescent="0.35">
      <c r="C44" s="4">
        <f>('01 - Original Data'!B41-'02 - Scaled Data'!$C$2)/'02 - Scaled Data'!$C$3</f>
        <v>1.1841931328963653</v>
      </c>
      <c r="D44" s="4">
        <f>('01 - Original Data'!C41-'02 - Scaled Data'!$D$2)/'02 - Scaled Data'!$D$3</f>
        <v>0.96923963884862663</v>
      </c>
      <c r="E44" s="4">
        <f>('01 - Original Data'!D41-'02 - Scaled Data'!$E$2)/'02 - Scaled Data'!$E$3</f>
        <v>-0.34724836838658435</v>
      </c>
    </row>
    <row r="45" spans="3:5" x14ac:dyDescent="0.35">
      <c r="C45" s="4">
        <f>('01 - Original Data'!B42-'02 - Scaled Data'!$C$2)/'02 - Scaled Data'!$C$3</f>
        <v>1.7209378956822532</v>
      </c>
      <c r="D45" s="4">
        <f>('01 - Original Data'!C42-'02 - Scaled Data'!$D$2)/'02 - Scaled Data'!$D$3</f>
        <v>-1.5270849804387012</v>
      </c>
      <c r="E45" s="4">
        <f>('01 - Original Data'!D42-'02 - Scaled Data'!$E$2)/'02 - Scaled Data'!$E$3</f>
        <v>-0.79738514222104573</v>
      </c>
    </row>
    <row r="46" spans="3:5" x14ac:dyDescent="0.35">
      <c r="C46" s="4">
        <f>('01 - Original Data'!B43-'02 - Scaled Data'!$C$2)/'02 - Scaled Data'!$C$3</f>
        <v>-1.5666237763813105</v>
      </c>
      <c r="D46" s="4">
        <f>('01 - Original Data'!C43-'02 - Scaled Data'!$D$2)/'02 - Scaled Data'!$D$3</f>
        <v>-1.5936536369530299</v>
      </c>
      <c r="E46" s="4">
        <f>('01 - Original Data'!D43-'02 - Scaled Data'!$E$2)/'02 - Scaled Data'!$E$3</f>
        <v>0.64948305938972284</v>
      </c>
    </row>
    <row r="47" spans="3:5" x14ac:dyDescent="0.35">
      <c r="C47" s="4">
        <f>('01 - Original Data'!B44-'02 - Scaled Data'!$C$2)/'02 - Scaled Data'!$C$3</f>
        <v>0.71454146545871322</v>
      </c>
      <c r="D47" s="4">
        <f>('01 - Original Data'!C44-'02 - Scaled Data'!$D$2)/'02 - Scaled Data'!$D$3</f>
        <v>-1.4605163239243724</v>
      </c>
      <c r="E47" s="4">
        <f>('01 - Original Data'!D44-'02 - Scaled Data'!$E$2)/'02 - Scaled Data'!$E$3</f>
        <v>1.5819092337611071</v>
      </c>
    </row>
    <row r="48" spans="3:5" x14ac:dyDescent="0.35">
      <c r="C48" s="4">
        <f>('01 - Original Data'!B45-'02 - Scaled Data'!$C$2)/'02 - Scaled Data'!$C$3</f>
        <v>1.6538448003340172</v>
      </c>
      <c r="D48" s="4">
        <f>('01 - Original Data'!C45-'02 - Scaled Data'!$D$2)/'02 - Scaled Data'!$D$3</f>
        <v>1.3686515779345991</v>
      </c>
      <c r="E48" s="4">
        <f>('01 - Original Data'!D45-'02 - Scaled Data'!$E$2)/'02 - Scaled Data'!$E$3</f>
        <v>0.68163568609218439</v>
      </c>
    </row>
    <row r="49" spans="3:5" x14ac:dyDescent="0.35">
      <c r="C49" s="4">
        <f>('01 - Original Data'!B46-'02 - Scaled Data'!$C$2)/'02 - Scaled Data'!$C$3</f>
        <v>-1.2982513949883665</v>
      </c>
      <c r="D49" s="4">
        <f>('01 - Original Data'!C46-'02 - Scaled Data'!$D$2)/'02 - Scaled Data'!$D$3</f>
        <v>-1.1609573696098932</v>
      </c>
      <c r="E49" s="4">
        <f>('01 - Original Data'!D46-'02 - Scaled Data'!$E$2)/'02 - Scaled Data'!$E$3</f>
        <v>1.1960777133315688</v>
      </c>
    </row>
    <row r="50" spans="3:5" x14ac:dyDescent="0.35">
      <c r="C50" s="4">
        <f>('01 - Original Data'!B47-'02 - Scaled Data'!$C$2)/'02 - Scaled Data'!$C$3</f>
        <v>-0.35894806011306268</v>
      </c>
      <c r="D50" s="4">
        <f>('01 - Original Data'!C47-'02 - Scaled Data'!$D$2)/'02 - Scaled Data'!$D$3</f>
        <v>-0.72826110226675622</v>
      </c>
      <c r="E50" s="4">
        <f>('01 - Original Data'!D47-'02 - Scaled Data'!$E$2)/'02 - Scaled Data'!$E$3</f>
        <v>-1.2153692893530454</v>
      </c>
    </row>
    <row r="51" spans="3:5" x14ac:dyDescent="0.35">
      <c r="C51" s="4">
        <f>('01 - Original Data'!B48-'02 - Scaled Data'!$C$2)/'02 - Scaled Data'!$C$3</f>
        <v>-1.1640652042918946</v>
      </c>
      <c r="D51" s="4">
        <f>('01 - Original Data'!C48-'02 - Scaled Data'!$D$2)/'02 - Scaled Data'!$D$3</f>
        <v>-1.3273790108957149</v>
      </c>
      <c r="E51" s="4">
        <f>('01 - Original Data'!D48-'02 - Scaled Data'!$E$2)/'02 - Scaled Data'!$E$3</f>
        <v>-1.0546061558407378</v>
      </c>
    </row>
    <row r="52" spans="3:5" x14ac:dyDescent="0.35">
      <c r="C52" s="4">
        <f>('01 - Original Data'!B49-'02 - Scaled Data'!$C$2)/'02 - Scaled Data'!$C$3</f>
        <v>0.84872765615518519</v>
      </c>
      <c r="D52" s="4">
        <f>('01 - Original Data'!C49-'02 - Scaled Data'!$D$2)/'02 - Scaled Data'!$D$3</f>
        <v>1.0025239671057911</v>
      </c>
      <c r="E52" s="4">
        <f>('01 - Original Data'!D49-'02 - Scaled Data'!$E$2)/'02 - Scaled Data'!$E$3</f>
        <v>1.5497566070586455</v>
      </c>
    </row>
    <row r="53" spans="3:5" x14ac:dyDescent="0.35">
      <c r="C53" s="4">
        <f>('01 - Original Data'!B50-'02 - Scaled Data'!$C$2)/'02 - Scaled Data'!$C$3</f>
        <v>-0.56022734615777059</v>
      </c>
      <c r="D53" s="4">
        <f>('01 - Original Data'!C50-'02 - Scaled Data'!$D$2)/'02 - Scaled Data'!$D$3</f>
        <v>-1.1276730413527287</v>
      </c>
      <c r="E53" s="4">
        <f>('01 - Original Data'!D50-'02 - Scaled Data'!$E$2)/'02 - Scaled Data'!$E$3</f>
        <v>0.77809356619956893</v>
      </c>
    </row>
    <row r="54" spans="3:5" x14ac:dyDescent="0.35">
      <c r="C54" s="4">
        <f>('01 - Original Data'!B51-'02 - Scaled Data'!$C$2)/'02 - Scaled Data'!$C$3</f>
        <v>-1.4995306810330746</v>
      </c>
      <c r="D54" s="4">
        <f>('01 - Original Data'!C51-'02 - Scaled Data'!$D$2)/'02 - Scaled Data'!$D$3</f>
        <v>1.3686515779345991</v>
      </c>
      <c r="E54" s="4">
        <f>('01 - Original Data'!D51-'02 - Scaled Data'!$E$2)/'02 - Scaled Data'!$E$3</f>
        <v>0.32795679236510761</v>
      </c>
    </row>
    <row r="55" spans="3:5" x14ac:dyDescent="0.35">
      <c r="C55" s="4">
        <f>('01 - Original Data'!B52-'02 - Scaled Data'!$C$2)/'02 - Scaled Data'!$C$3</f>
        <v>-9.057567872011868E-2</v>
      </c>
      <c r="D55" s="4">
        <f>('01 - Original Data'!C52-'02 - Scaled Data'!$D$2)/'02 - Scaled Data'!$D$3</f>
        <v>-0.22899617840929071</v>
      </c>
      <c r="E55" s="4">
        <f>('01 - Original Data'!D52-'02 - Scaled Data'!$E$2)/'02 - Scaled Data'!$E$3</f>
        <v>0.68163568609218439</v>
      </c>
    </row>
    <row r="56" spans="3:5" x14ac:dyDescent="0.35">
      <c r="C56" s="4">
        <f>('01 - Original Data'!B53-'02 - Scaled Data'!$C$2)/'02 - Scaled Data'!$C$3</f>
        <v>-0.82859972755071465</v>
      </c>
      <c r="D56" s="4">
        <f>('01 - Original Data'!C53-'02 - Scaled Data'!$D$2)/'02 - Scaled Data'!$D$3</f>
        <v>0.9359553105914622</v>
      </c>
      <c r="E56" s="4">
        <f>('01 - Original Data'!D53-'02 - Scaled Data'!$E$2)/'02 - Scaled Data'!$E$3</f>
        <v>1.0031619531167997</v>
      </c>
    </row>
    <row r="57" spans="3:5" x14ac:dyDescent="0.35">
      <c r="C57" s="4">
        <f>('01 - Original Data'!B54-'02 - Scaled Data'!$C$2)/'02 - Scaled Data'!$C$3</f>
        <v>1.5867517049857811</v>
      </c>
      <c r="D57" s="4">
        <f>('01 - Original Data'!C54-'02 - Scaled Data'!$D$2)/'02 - Scaled Data'!$D$3</f>
        <v>7.0562775905188613E-2</v>
      </c>
      <c r="E57" s="4">
        <f>('01 - Original Data'!D54-'02 - Scaled Data'!$E$2)/'02 - Scaled Data'!$E$3</f>
        <v>1.4211461002487995</v>
      </c>
    </row>
    <row r="58" spans="3:5" x14ac:dyDescent="0.35">
      <c r="C58" s="4">
        <f>('01 - Original Data'!B55-'02 - Scaled Data'!$C$2)/'02 - Scaled Data'!$C$3</f>
        <v>-1.1640652042918946</v>
      </c>
      <c r="D58" s="4">
        <f>('01 - Original Data'!C55-'02 - Scaled Data'!$D$2)/'02 - Scaled Data'!$D$3</f>
        <v>0.46997471499116106</v>
      </c>
      <c r="E58" s="4">
        <f>('01 - Original Data'!D55-'02 - Scaled Data'!$E$2)/'02 - Scaled Data'!$E$3</f>
        <v>-1.4725903029727376</v>
      </c>
    </row>
    <row r="59" spans="3:5" x14ac:dyDescent="0.35">
      <c r="C59" s="4">
        <f>('01 - Original Data'!B56-'02 - Scaled Data'!$C$2)/'02 - Scaled Data'!$C$3</f>
        <v>-2.3482583371882693E-2</v>
      </c>
      <c r="D59" s="4">
        <f>('01 - Original Data'!C56-'02 - Scaled Data'!$D$2)/'02 - Scaled Data'!$D$3</f>
        <v>1.5683575474775853</v>
      </c>
      <c r="E59" s="4">
        <f>('01 - Original Data'!D56-'02 - Scaled Data'!$E$2)/'02 - Scaled Data'!$E$3</f>
        <v>-0.92599564903089182</v>
      </c>
    </row>
    <row r="60" spans="3:5" x14ac:dyDescent="0.35">
      <c r="C60" s="4">
        <f>('01 - Original Data'!B57-'02 - Scaled Data'!$C$2)/'02 - Scaled Data'!$C$3</f>
        <v>-1.6337168717295465</v>
      </c>
      <c r="D60" s="4">
        <f>('01 - Original Data'!C57-'02 - Scaled Data'!$D$2)/'02 - Scaled Data'!$D$3</f>
        <v>0.10384710416235299</v>
      </c>
      <c r="E60" s="4">
        <f>('01 - Original Data'!D57-'02 - Scaled Data'!$E$2)/'02 - Scaled Data'!$E$3</f>
        <v>0.32795679236510761</v>
      </c>
    </row>
    <row r="61" spans="3:5" x14ac:dyDescent="0.35">
      <c r="C61" s="4">
        <f>('01 - Original Data'!B58-'02 - Scaled Data'!$C$2)/'02 - Scaled Data'!$C$3</f>
        <v>-0.42604115546129867</v>
      </c>
      <c r="D61" s="4">
        <f>('01 - Original Data'!C58-'02 - Scaled Data'!$D$2)/'02 - Scaled Data'!$D$3</f>
        <v>1.5683575474775853</v>
      </c>
      <c r="E61" s="4">
        <f>('01 - Original Data'!D58-'02 - Scaled Data'!$E$2)/'02 - Scaled Data'!$E$3</f>
        <v>-0.4115536217915074</v>
      </c>
    </row>
    <row r="62" spans="3:5" x14ac:dyDescent="0.35">
      <c r="C62" s="4">
        <f>('01 - Original Data'!B59-'02 - Scaled Data'!$C$2)/'02 - Scaled Data'!$C$3</f>
        <v>0.1107036073245893</v>
      </c>
      <c r="D62" s="4">
        <f>('01 - Original Data'!C59-'02 - Scaled Data'!$D$2)/'02 - Scaled Data'!$D$3</f>
        <v>-1.4938006521815368</v>
      </c>
      <c r="E62" s="4">
        <f>('01 - Original Data'!D59-'02 - Scaled Data'!$E$2)/'02 - Scaled Data'!$E$3</f>
        <v>-0.95814827573335326</v>
      </c>
    </row>
    <row r="63" spans="3:5" x14ac:dyDescent="0.35">
      <c r="C63" s="4">
        <f>('01 - Original Data'!B60-'02 - Scaled Data'!$C$2)/'02 - Scaled Data'!$C$3</f>
        <v>1.3854724189410732</v>
      </c>
      <c r="D63" s="4">
        <f>('01 - Original Data'!C60-'02 - Scaled Data'!$D$2)/'02 - Scaled Data'!$D$3</f>
        <v>1.5017888909632566</v>
      </c>
      <c r="E63" s="4">
        <f>('01 - Original Data'!D60-'02 - Scaled Data'!$E$2)/'02 - Scaled Data'!$E$3</f>
        <v>1.324688220141415</v>
      </c>
    </row>
    <row r="64" spans="3:5" x14ac:dyDescent="0.35">
      <c r="C64" s="4">
        <f>('01 - Original Data'!B61-'02 - Scaled Data'!$C$2)/'02 - Scaled Data'!$C$3</f>
        <v>-1.2982513949883665</v>
      </c>
      <c r="D64" s="4">
        <f>('01 - Original Data'!C61-'02 - Scaled Data'!$D$2)/'02 - Scaled Data'!$D$3</f>
        <v>-0.86139841529541372</v>
      </c>
      <c r="E64" s="4">
        <f>('01 - Original Data'!D61-'02 - Scaled Data'!$E$2)/'02 - Scaled Data'!$E$3</f>
        <v>0.58517780598479985</v>
      </c>
    </row>
    <row r="65" spans="3:5" x14ac:dyDescent="0.35">
      <c r="C65" s="4">
        <f>('01 - Original Data'!B62-'02 - Scaled Data'!$C$2)/'02 - Scaled Data'!$C$3</f>
        <v>1.1841931328963653</v>
      </c>
      <c r="D65" s="4">
        <f>('01 - Original Data'!C62-'02 - Scaled Data'!$D$2)/'02 - Scaled Data'!$D$3</f>
        <v>-1.1276730413527287</v>
      </c>
      <c r="E65" s="4">
        <f>('01 - Original Data'!D62-'02 - Scaled Data'!$E$2)/'02 - Scaled Data'!$E$3</f>
        <v>-0.95814827573335326</v>
      </c>
    </row>
    <row r="66" spans="3:5" x14ac:dyDescent="0.35">
      <c r="C66" s="4">
        <f>('01 - Original Data'!B63-'02 - Scaled Data'!$C$2)/'02 - Scaled Data'!$C$3</f>
        <v>-1.2311582996401307</v>
      </c>
      <c r="D66" s="4">
        <f>('01 - Original Data'!C63-'02 - Scaled Data'!$D$2)/'02 - Scaled Data'!$D$3</f>
        <v>-0.19571185015212633</v>
      </c>
      <c r="E66" s="4">
        <f>('01 - Original Data'!D63-'02 - Scaled Data'!$E$2)/'02 - Scaled Data'!$E$3</f>
        <v>-0.92599564903089182</v>
      </c>
    </row>
    <row r="67" spans="3:5" x14ac:dyDescent="0.35">
      <c r="C67" s="4">
        <f>('01 - Original Data'!B64-'02 - Scaled Data'!$C$2)/'02 - Scaled Data'!$C$3</f>
        <v>1.3854724189410732</v>
      </c>
      <c r="D67" s="4">
        <f>('01 - Original Data'!C64-'02 - Scaled Data'!$D$2)/'02 - Scaled Data'!$D$3</f>
        <v>-0.66169244575242747</v>
      </c>
      <c r="E67" s="4">
        <f>('01 - Original Data'!D64-'02 - Scaled Data'!$E$2)/'02 - Scaled Data'!$E$3</f>
        <v>1.517603980356184</v>
      </c>
    </row>
    <row r="68" spans="3:5" x14ac:dyDescent="0.35">
      <c r="C68" s="4">
        <f>('01 - Original Data'!B65-'02 - Scaled Data'!$C$2)/'02 - Scaled Data'!$C$3</f>
        <v>0.58035527476224125</v>
      </c>
      <c r="D68" s="4">
        <f>('01 - Original Data'!C65-'02 - Scaled Data'!$D$2)/'02 - Scaled Data'!$D$3</f>
        <v>-0.42870214795227696</v>
      </c>
      <c r="E68" s="4">
        <f>('01 - Original Data'!D65-'02 - Scaled Data'!$E$2)/'02 - Scaled Data'!$E$3</f>
        <v>0.71378831279464594</v>
      </c>
    </row>
    <row r="69" spans="3:5" x14ac:dyDescent="0.35">
      <c r="C69" s="4">
        <f>('01 - Original Data'!B66-'02 - Scaled Data'!$C$2)/'02 - Scaled Data'!$C$3</f>
        <v>-0.82859972755071465</v>
      </c>
      <c r="D69" s="4">
        <f>('01 - Original Data'!C66-'02 - Scaled Data'!$D$2)/'02 - Scaled Data'!$D$3</f>
        <v>-1.1942416978670574</v>
      </c>
      <c r="E69" s="4">
        <f>('01 - Original Data'!D66-'02 - Scaled Data'!$E$2)/'02 - Scaled Data'!$E$3</f>
        <v>0.10288840544787696</v>
      </c>
    </row>
    <row r="70" spans="3:5" x14ac:dyDescent="0.35">
      <c r="C70" s="4">
        <f>('01 - Original Data'!B67-'02 - Scaled Data'!$C$2)/'02 - Scaled Data'!$C$3</f>
        <v>-0.62732044150600663</v>
      </c>
      <c r="D70" s="4">
        <f>('01 - Original Data'!C67-'02 - Scaled Data'!$D$2)/'02 - Scaled Data'!$D$3</f>
        <v>-0.5618394609809344</v>
      </c>
      <c r="E70" s="4">
        <f>('01 - Original Data'!D67-'02 - Scaled Data'!$E$2)/'02 - Scaled Data'!$E$3</f>
        <v>-0.50801150189889199</v>
      </c>
    </row>
    <row r="71" spans="3:5" x14ac:dyDescent="0.35">
      <c r="C71" s="4">
        <f>('01 - Original Data'!B68-'02 - Scaled Data'!$C$2)/'02 - Scaled Data'!$C$3</f>
        <v>0.64744837011047729</v>
      </c>
      <c r="D71" s="4">
        <f>('01 - Original Data'!C68-'02 - Scaled Data'!$D$2)/'02 - Scaled Data'!$D$3</f>
        <v>0.73624934104847606</v>
      </c>
      <c r="E71" s="4">
        <f>('01 - Original Data'!D68-'02 - Scaled Data'!$E$2)/'02 - Scaled Data'!$E$3</f>
        <v>-0.2829431149816613</v>
      </c>
    </row>
    <row r="72" spans="3:5" x14ac:dyDescent="0.35">
      <c r="C72" s="4">
        <f>('01 - Original Data'!B69-'02 - Scaled Data'!$C$2)/'02 - Scaled Data'!$C$3</f>
        <v>1.5867517049857811</v>
      </c>
      <c r="D72" s="4">
        <f>('01 - Original Data'!C69-'02 - Scaled Data'!$D$2)/'02 - Scaled Data'!$D$3</f>
        <v>0.33683740196250356</v>
      </c>
      <c r="E72" s="4">
        <f>('01 - Original Data'!D69-'02 - Scaled Data'!$E$2)/'02 - Scaled Data'!$E$3</f>
        <v>-0.31509574168412285</v>
      </c>
    </row>
    <row r="73" spans="3:5" x14ac:dyDescent="0.35">
      <c r="C73" s="4">
        <f>('01 - Original Data'!B70-'02 - Scaled Data'!$C$2)/'02 - Scaled Data'!$C$3</f>
        <v>0.91582075150342124</v>
      </c>
      <c r="D73" s="4">
        <f>('01 - Original Data'!C70-'02 - Scaled Data'!$D$2)/'02 - Scaled Data'!$D$3</f>
        <v>1.2355142649059416</v>
      </c>
      <c r="E73" s="4">
        <f>('01 - Original Data'!D70-'02 - Scaled Data'!$E$2)/'02 - Scaled Data'!$E$3</f>
        <v>1.0674672065217228</v>
      </c>
    </row>
    <row r="74" spans="3:5" x14ac:dyDescent="0.35">
      <c r="C74" s="4">
        <f>('01 - Original Data'!B71-'02 - Scaled Data'!$C$2)/'02 - Scaled Data'!$C$3</f>
        <v>-1.4995306810330746</v>
      </c>
      <c r="D74" s="4">
        <f>('01 - Original Data'!C71-'02 - Scaled Data'!$D$2)/'02 - Scaled Data'!$D$3</f>
        <v>-0.6949767740095919</v>
      </c>
      <c r="E74" s="4">
        <f>('01 - Original Data'!D71-'02 - Scaled Data'!$E$2)/'02 - Scaled Data'!$E$3</f>
        <v>-1.5368955563776607</v>
      </c>
    </row>
    <row r="75" spans="3:5" x14ac:dyDescent="0.35">
      <c r="C75" s="4">
        <f>('01 - Original Data'!B72-'02 - Scaled Data'!$C$2)/'02 - Scaled Data'!$C$3</f>
        <v>-1.6337168717295465</v>
      </c>
      <c r="D75" s="4">
        <f>('01 - Original Data'!C72-'02 - Scaled Data'!$D$2)/'02 - Scaled Data'!$D$3</f>
        <v>0.56982769976265413</v>
      </c>
      <c r="E75" s="4">
        <f>('01 - Original Data'!D72-'02 - Scaled Data'!$E$2)/'02 - Scaled Data'!$E$3</f>
        <v>-1.2153692893530454</v>
      </c>
    </row>
    <row r="76" spans="3:5" x14ac:dyDescent="0.35">
      <c r="C76" s="4">
        <f>('01 - Original Data'!B73-'02 - Scaled Data'!$C$2)/'02 - Scaled Data'!$C$3</f>
        <v>-1.3653444903366025</v>
      </c>
      <c r="D76" s="4">
        <f>('01 - Original Data'!C73-'02 - Scaled Data'!$D$2)/'02 - Scaled Data'!$D$3</f>
        <v>-0.22899617840929071</v>
      </c>
      <c r="E76" s="4">
        <f>('01 - Original Data'!D73-'02 - Scaled Data'!$E$2)/'02 - Scaled Data'!$E$3</f>
        <v>1.3889934735463378</v>
      </c>
    </row>
    <row r="77" spans="3:5" x14ac:dyDescent="0.35">
      <c r="C77" s="4">
        <f>('01 - Original Data'!B74-'02 - Scaled Data'!$C$2)/'02 - Scaled Data'!$C$3</f>
        <v>1.0500069421998932</v>
      </c>
      <c r="D77" s="4">
        <f>('01 - Original Data'!C74-'02 - Scaled Data'!$D$2)/'02 - Scaled Data'!$D$3</f>
        <v>-0.12914319363779761</v>
      </c>
      <c r="E77" s="4">
        <f>('01 - Original Data'!D74-'02 - Scaled Data'!$E$2)/'02 - Scaled Data'!$E$3</f>
        <v>0.26365153896018456</v>
      </c>
    </row>
    <row r="78" spans="3:5" x14ac:dyDescent="0.35">
      <c r="C78" s="4">
        <f>('01 - Original Data'!B75-'02 - Scaled Data'!$C$2)/'02 - Scaled Data'!$C$3</f>
        <v>-1.4995306810330746</v>
      </c>
      <c r="D78" s="4">
        <f>('01 - Original Data'!C75-'02 - Scaled Data'!$D$2)/'02 - Scaled Data'!$D$3</f>
        <v>0.43669038673399668</v>
      </c>
      <c r="E78" s="4">
        <f>('01 - Original Data'!D75-'02 - Scaled Data'!$E$2)/'02 - Scaled Data'!$E$3</f>
        <v>1.2925355934389533</v>
      </c>
    </row>
    <row r="79" spans="3:5" x14ac:dyDescent="0.35">
      <c r="C79" s="4">
        <f>('01 - Original Data'!B76-'02 - Scaled Data'!$C$2)/'02 - Scaled Data'!$C$3</f>
        <v>0.1777967026728253</v>
      </c>
      <c r="D79" s="4">
        <f>('01 - Original Data'!C76-'02 - Scaled Data'!$D$2)/'02 - Scaled Data'!$D$3</f>
        <v>0.27026874544817481</v>
      </c>
      <c r="E79" s="4">
        <f>('01 - Original Data'!D76-'02 - Scaled Data'!$E$2)/'02 - Scaled Data'!$E$3</f>
        <v>3.8583152042953921E-2</v>
      </c>
    </row>
    <row r="80" spans="3:5" x14ac:dyDescent="0.35">
      <c r="C80" s="4">
        <f>('01 - Original Data'!B77-'02 - Scaled Data'!$C$2)/'02 - Scaled Data'!$C$3</f>
        <v>-0.56022734615777059</v>
      </c>
      <c r="D80" s="4">
        <f>('01 - Original Data'!C77-'02 - Scaled Data'!$D$2)/'02 - Scaled Data'!$D$3</f>
        <v>-1.4272319956672079</v>
      </c>
      <c r="E80" s="4">
        <f>('01 - Original Data'!D77-'02 - Scaled Data'!$E$2)/'02 - Scaled Data'!$E$3</f>
        <v>-0.82953776892350717</v>
      </c>
    </row>
    <row r="81" spans="3:5" x14ac:dyDescent="0.35">
      <c r="C81" s="4">
        <f>('01 - Original Data'!B78-'02 - Scaled Data'!$C$2)/'02 - Scaled Data'!$C$3</f>
        <v>-2.3482583371882693E-2</v>
      </c>
      <c r="D81" s="4">
        <f>('01 - Original Data'!C78-'02 - Scaled Data'!$D$2)/'02 - Scaled Data'!$D$3</f>
        <v>-0.6949767740095919</v>
      </c>
      <c r="E81" s="4">
        <f>('01 - Original Data'!D78-'02 - Scaled Data'!$E$2)/'02 - Scaled Data'!$E$3</f>
        <v>-0.57231675530381498</v>
      </c>
    </row>
    <row r="82" spans="3:5" x14ac:dyDescent="0.35">
      <c r="C82" s="4">
        <f>('01 - Original Data'!B79-'02 - Scaled Data'!$C$2)/'02 - Scaled Data'!$C$3</f>
        <v>1.1841931328963653</v>
      </c>
      <c r="D82" s="4">
        <f>('01 - Original Data'!C79-'02 - Scaled Data'!$D$2)/'02 - Scaled Data'!$D$3</f>
        <v>-0.6949767740095919</v>
      </c>
      <c r="E82" s="4">
        <f>('01 - Original Data'!D79-'02 - Scaled Data'!$E$2)/'02 - Scaled Data'!$E$3</f>
        <v>1.4532987269512609</v>
      </c>
    </row>
    <row r="83" spans="3:5" x14ac:dyDescent="0.35">
      <c r="C83" s="4">
        <f>('01 - Original Data'!B80-'02 - Scaled Data'!$C$2)/'02 - Scaled Data'!$C$3</f>
        <v>0.5132621794140052</v>
      </c>
      <c r="D83" s="4">
        <f>('01 - Original Data'!C80-'02 - Scaled Data'!$D$2)/'02 - Scaled Data'!$D$3</f>
        <v>-0.16242752189496198</v>
      </c>
      <c r="E83" s="4">
        <f>('01 - Original Data'!D80-'02 - Scaled Data'!$E$2)/'02 - Scaled Data'!$E$3</f>
        <v>-0.21863786157673826</v>
      </c>
    </row>
    <row r="84" spans="3:5" x14ac:dyDescent="0.35">
      <c r="C84" s="4">
        <f>('01 - Original Data'!B81-'02 - Scaled Data'!$C$2)/'02 - Scaled Data'!$C$3</f>
        <v>-1.0969721089436586</v>
      </c>
      <c r="D84" s="4">
        <f>('01 - Original Data'!C81-'02 - Scaled Data'!$D$2)/'02 - Scaled Data'!$D$3</f>
        <v>1.1689456083916128</v>
      </c>
      <c r="E84" s="4">
        <f>('01 - Original Data'!D81-'02 - Scaled Data'!$E$2)/'02 - Scaled Data'!$E$3</f>
        <v>1.6140618604635686</v>
      </c>
    </row>
    <row r="85" spans="3:5" x14ac:dyDescent="0.35">
      <c r="C85" s="4">
        <f>('01 - Original Data'!B82-'02 - Scaled Data'!$C$2)/'02 - Scaled Data'!$C$3</f>
        <v>0.64744837011047729</v>
      </c>
      <c r="D85" s="4">
        <f>('01 - Original Data'!C82-'02 - Scaled Data'!$D$2)/'02 - Scaled Data'!$D$3</f>
        <v>-0.62840811749526315</v>
      </c>
      <c r="E85" s="4">
        <f>('01 - Original Data'!D82-'02 - Scaled Data'!$E$2)/'02 - Scaled Data'!$E$3</f>
        <v>-1.3439797961628916</v>
      </c>
    </row>
    <row r="86" spans="3:5" x14ac:dyDescent="0.35">
      <c r="C86" s="4">
        <f>('01 - Original Data'!B83-'02 - Scaled Data'!$C$2)/'02 - Scaled Data'!$C$3</f>
        <v>-0.82859972755071465</v>
      </c>
      <c r="D86" s="4">
        <f>('01 - Original Data'!C83-'02 - Scaled Data'!$D$2)/'02 - Scaled Data'!$D$3</f>
        <v>0.43669038673399668</v>
      </c>
      <c r="E86" s="4">
        <f>('01 - Original Data'!D83-'02 - Scaled Data'!$E$2)/'02 - Scaled Data'!$E$3</f>
        <v>-1.0546061558407378</v>
      </c>
    </row>
    <row r="87" spans="3:5" x14ac:dyDescent="0.35">
      <c r="C87" s="4">
        <f>('01 - Original Data'!B84-'02 - Scaled Data'!$C$2)/'02 - Scaled Data'!$C$3</f>
        <v>0.3119828933692973</v>
      </c>
      <c r="D87" s="4">
        <f>('01 - Original Data'!C84-'02 - Scaled Data'!$D$2)/'02 - Scaled Data'!$D$3</f>
        <v>0.86938665407713345</v>
      </c>
      <c r="E87" s="4">
        <f>('01 - Original Data'!D84-'02 - Scaled Data'!$E$2)/'02 - Scaled Data'!$E$3</f>
        <v>1.324688220141415</v>
      </c>
    </row>
    <row r="88" spans="3:5" x14ac:dyDescent="0.35">
      <c r="C88" s="4">
        <f>('01 - Original Data'!B85-'02 - Scaled Data'!$C$2)/'02 - Scaled Data'!$C$3</f>
        <v>1.4525655142893092</v>
      </c>
      <c r="D88" s="4">
        <f>('01 - Original Data'!C85-'02 - Scaled Data'!$D$2)/'02 - Scaled Data'!$D$3</f>
        <v>1.4352202344489278</v>
      </c>
      <c r="E88" s="4">
        <f>('01 - Original Data'!D85-'02 - Scaled Data'!$E$2)/'02 - Scaled Data'!$E$3</f>
        <v>0.36010941906756916</v>
      </c>
    </row>
    <row r="89" spans="3:5" x14ac:dyDescent="0.35">
      <c r="C89" s="4">
        <f>('01 - Original Data'!B86-'02 - Scaled Data'!$C$2)/'02 - Scaled Data'!$C$3</f>
        <v>-0.76150663220247861</v>
      </c>
      <c r="D89" s="4">
        <f>('01 - Original Data'!C86-'02 - Scaled Data'!$D$2)/'02 - Scaled Data'!$D$3</f>
        <v>1.3353672496774347</v>
      </c>
      <c r="E89" s="4">
        <f>('01 - Original Data'!D86-'02 - Scaled Data'!$E$2)/'02 - Scaled Data'!$E$3</f>
        <v>-1.5047429296751993</v>
      </c>
    </row>
    <row r="90" spans="3:5" x14ac:dyDescent="0.35">
      <c r="C90" s="4">
        <f>('01 - Original Data'!B87-'02 - Scaled Data'!$C$2)/'02 - Scaled Data'!$C$3</f>
        <v>-1.2311582996401307</v>
      </c>
      <c r="D90" s="4">
        <f>('01 - Original Data'!C87-'02 - Scaled Data'!$D$2)/'02 - Scaled Data'!$D$3</f>
        <v>0.43669038673399668</v>
      </c>
      <c r="E90" s="4">
        <f>('01 - Original Data'!D87-'02 - Scaled Data'!$E$2)/'02 - Scaled Data'!$E$3</f>
        <v>-1.5368955563776607</v>
      </c>
    </row>
    <row r="91" spans="3:5" x14ac:dyDescent="0.35">
      <c r="C91" s="4">
        <f>('01 - Original Data'!B88-'02 - Scaled Data'!$C$2)/'02 - Scaled Data'!$C$3</f>
        <v>-0.82859972755071465</v>
      </c>
      <c r="D91" s="4">
        <f>('01 - Original Data'!C88-'02 - Scaled Data'!$D$2)/'02 - Scaled Data'!$D$3</f>
        <v>1.6016418757347497</v>
      </c>
      <c r="E91" s="4">
        <f>('01 - Original Data'!D88-'02 - Scaled Data'!$E$2)/'02 - Scaled Data'!$E$3</f>
        <v>-2.5722101361969129E-2</v>
      </c>
    </row>
    <row r="92" spans="3:5" x14ac:dyDescent="0.35">
      <c r="C92" s="4">
        <f>('01 - Original Data'!B89-'02 - Scaled Data'!$C$2)/'02 - Scaled Data'!$C$3</f>
        <v>-0.22476186941659068</v>
      </c>
      <c r="D92" s="4">
        <f>('01 - Original Data'!C89-'02 - Scaled Data'!$D$2)/'02 - Scaled Data'!$D$3</f>
        <v>-1.5936536369530299</v>
      </c>
      <c r="E92" s="4">
        <f>('01 - Original Data'!D89-'02 - Scaled Data'!$E$2)/'02 - Scaled Data'!$E$3</f>
        <v>-1.183216662650584</v>
      </c>
    </row>
    <row r="93" spans="3:5" x14ac:dyDescent="0.35">
      <c r="C93" s="4">
        <f>('01 - Original Data'!B90-'02 - Scaled Data'!$C$2)/'02 - Scaled Data'!$C$3</f>
        <v>0.91582075150342124</v>
      </c>
      <c r="D93" s="4">
        <f>('01 - Original Data'!C90-'02 - Scaled Data'!$D$2)/'02 - Scaled Data'!$D$3</f>
        <v>-0.72826110226675622</v>
      </c>
      <c r="E93" s="4">
        <f>('01 - Original Data'!D90-'02 - Scaled Data'!$E$2)/'02 - Scaled Data'!$E$3</f>
        <v>0.64948305938972284</v>
      </c>
    </row>
    <row r="94" spans="3:5" x14ac:dyDescent="0.35">
      <c r="C94" s="4">
        <f>('01 - Original Data'!B91-'02 - Scaled Data'!$C$2)/'02 - Scaled Data'!$C$3</f>
        <v>-0.35894806011306268</v>
      </c>
      <c r="D94" s="4">
        <f>('01 - Original Data'!C91-'02 - Scaled Data'!$D$2)/'02 - Scaled Data'!$D$3</f>
        <v>0.43669038673399668</v>
      </c>
      <c r="E94" s="4">
        <f>('01 - Original Data'!D91-'02 - Scaled Data'!$E$2)/'02 - Scaled Data'!$E$3</f>
        <v>-0.3794009950890459</v>
      </c>
    </row>
    <row r="95" spans="3:5" x14ac:dyDescent="0.35">
      <c r="C95" s="4">
        <f>('01 - Original Data'!B92-'02 - Scaled Data'!$C$2)/'02 - Scaled Data'!$C$3</f>
        <v>-0.69441353685424267</v>
      </c>
      <c r="D95" s="4">
        <f>('01 - Original Data'!C92-'02 - Scaled Data'!$D$2)/'02 - Scaled Data'!$D$3</f>
        <v>0.9359553105914622</v>
      </c>
      <c r="E95" s="4">
        <f>('01 - Original Data'!D92-'02 - Scaled Data'!$E$2)/'02 - Scaled Data'!$E$3</f>
        <v>-0.54016412860135354</v>
      </c>
    </row>
    <row r="96" spans="3:5" x14ac:dyDescent="0.35">
      <c r="C96" s="4">
        <f>('01 - Original Data'!B93-'02 - Scaled Data'!$C$2)/'02 - Scaled Data'!$C$3</f>
        <v>1.2512862282446011</v>
      </c>
      <c r="D96" s="4">
        <f>('01 - Original Data'!C93-'02 - Scaled Data'!$D$2)/'02 - Scaled Data'!$D$3</f>
        <v>-1.5270849804387012</v>
      </c>
      <c r="E96" s="4">
        <f>('01 - Original Data'!D93-'02 - Scaled Data'!$E$2)/'02 - Scaled Data'!$E$3</f>
        <v>-1.2796745427579685</v>
      </c>
    </row>
    <row r="97" spans="3:5" x14ac:dyDescent="0.35">
      <c r="C97" s="4">
        <f>('01 - Original Data'!B94-'02 - Scaled Data'!$C$2)/'02 - Scaled Data'!$C$3</f>
        <v>-0.56022734615777059</v>
      </c>
      <c r="D97" s="4">
        <f>('01 - Original Data'!C94-'02 - Scaled Data'!$D$2)/'02 - Scaled Data'!$D$3</f>
        <v>0.70296501279131163</v>
      </c>
      <c r="E97" s="4">
        <f>('01 - Original Data'!D94-'02 - Scaled Data'!$E$2)/'02 - Scaled Data'!$E$3</f>
        <v>1.6140618604635686</v>
      </c>
    </row>
    <row r="98" spans="3:5" x14ac:dyDescent="0.35">
      <c r="C98" s="4">
        <f>('01 - Original Data'!B95-'02 - Scaled Data'!$C$2)/'02 - Scaled Data'!$C$3</f>
        <v>1.3854724189410732</v>
      </c>
      <c r="D98" s="4">
        <f>('01 - Original Data'!C95-'02 - Scaled Data'!$D$2)/'02 - Scaled Data'!$D$3</f>
        <v>0.76953366930564038</v>
      </c>
      <c r="E98" s="4">
        <f>('01 - Original Data'!D95-'02 - Scaled Data'!$E$2)/'02 - Scaled Data'!$E$3</f>
        <v>-0.95814827573335326</v>
      </c>
    </row>
    <row r="99" spans="3:5" x14ac:dyDescent="0.35">
      <c r="C99" s="4">
        <f>('01 - Original Data'!B96-'02 - Scaled Data'!$C$2)/'02 - Scaled Data'!$C$3</f>
        <v>-0.15766877406835467</v>
      </c>
      <c r="D99" s="4">
        <f>('01 - Original Data'!C96-'02 - Scaled Data'!$D$2)/'02 - Scaled Data'!$D$3</f>
        <v>-0.72826110226675622</v>
      </c>
      <c r="E99" s="4">
        <f>('01 - Original Data'!D96-'02 - Scaled Data'!$E$2)/'02 - Scaled Data'!$E$3</f>
        <v>-2.5722101361969129E-2</v>
      </c>
    </row>
    <row r="100" spans="3:5" x14ac:dyDescent="0.35">
      <c r="C100" s="4">
        <f>('01 - Original Data'!B97-'02 - Scaled Data'!$C$2)/'02 - Scaled Data'!$C$3</f>
        <v>-2.3482583371882693E-2</v>
      </c>
      <c r="D100" s="4">
        <f>('01 - Original Data'!C97-'02 - Scaled Data'!$D$2)/'02 - Scaled Data'!$D$3</f>
        <v>-1.3273790108957149</v>
      </c>
      <c r="E100" s="4">
        <f>('01 - Original Data'!D97-'02 - Scaled Data'!$E$2)/'02 - Scaled Data'!$E$3</f>
        <v>1.0031619531167997</v>
      </c>
    </row>
    <row r="101" spans="3:5" x14ac:dyDescent="0.35">
      <c r="C101" s="4">
        <f>('01 - Original Data'!B98-'02 - Scaled Data'!$C$2)/'02 - Scaled Data'!$C$3</f>
        <v>-9.057567872011868E-2</v>
      </c>
      <c r="D101" s="4">
        <f>('01 - Original Data'!C98-'02 - Scaled Data'!$D$2)/'02 - Scaled Data'!$D$3</f>
        <v>0.43669038673399668</v>
      </c>
      <c r="E101" s="4">
        <f>('01 - Original Data'!D98-'02 - Scaled Data'!$E$2)/'02 - Scaled Data'!$E$3</f>
        <v>-1.4725903029727376</v>
      </c>
    </row>
    <row r="102" spans="3:5" x14ac:dyDescent="0.35">
      <c r="C102" s="4">
        <f>('01 - Original Data'!B99-'02 - Scaled Data'!$C$2)/'02 - Scaled Data'!$C$3</f>
        <v>1.2512862282446011</v>
      </c>
      <c r="D102" s="4">
        <f>('01 - Original Data'!C99-'02 - Scaled Data'!$D$2)/'02 - Scaled Data'!$D$3</f>
        <v>-0.39541781969511258</v>
      </c>
      <c r="E102" s="4">
        <f>('01 - Original Data'!D99-'02 - Scaled Data'!$E$2)/'02 - Scaled Data'!$E$3</f>
        <v>-0.92599564903089182</v>
      </c>
    </row>
    <row r="103" spans="3:5" x14ac:dyDescent="0.35">
      <c r="C103" s="4">
        <f>('01 - Original Data'!B100-'02 - Scaled Data'!$C$2)/'02 - Scaled Data'!$C$3</f>
        <v>0.98291384685165717</v>
      </c>
      <c r="D103" s="4">
        <f>('01 - Original Data'!C100-'02 - Scaled Data'!$D$2)/'02 - Scaled Data'!$D$3</f>
        <v>1.6016418757347497</v>
      </c>
      <c r="E103" s="4">
        <f>('01 - Original Data'!D100-'02 - Scaled Data'!$E$2)/'02 - Scaled Data'!$E$3</f>
        <v>-0.79738514222104573</v>
      </c>
    </row>
    <row r="104" spans="3:5" x14ac:dyDescent="0.35">
      <c r="C104" s="4">
        <f>('01 - Original Data'!B101-'02 - Scaled Data'!$C$2)/'02 - Scaled Data'!$C$3</f>
        <v>0.1777967026728253</v>
      </c>
      <c r="D104" s="4">
        <f>('01 - Original Data'!C101-'02 - Scaled Data'!$D$2)/'02 - Scaled Data'!$D$3</f>
        <v>7.0562775905188613E-2</v>
      </c>
      <c r="E104" s="4">
        <f>('01 - Original Data'!D101-'02 - Scaled Data'!$E$2)/'02 - Scaled Data'!$E$3</f>
        <v>0.16719365885280002</v>
      </c>
    </row>
    <row r="105" spans="3:5" x14ac:dyDescent="0.35">
      <c r="C105" s="4">
        <f>('01 - Original Data'!B102-'02 - Scaled Data'!$C$2)/'02 - Scaled Data'!$C$3</f>
        <v>-0.76150663220247861</v>
      </c>
      <c r="D105" s="4">
        <f>('01 - Original Data'!C102-'02 - Scaled Data'!$D$2)/'02 - Scaled Data'!$D$3</f>
        <v>-0.16242752189496198</v>
      </c>
      <c r="E105" s="4">
        <f>('01 - Original Data'!D102-'02 - Scaled Data'!$E$2)/'02 - Scaled Data'!$E$3</f>
        <v>-0.50801150189889199</v>
      </c>
    </row>
  </sheetData>
  <mergeCells count="1">
    <mergeCell ref="G11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7"/>
  <sheetViews>
    <sheetView showGridLines="0" zoomScale="180" zoomScaleNormal="180" workbookViewId="0">
      <selection activeCell="D13" sqref="D13"/>
    </sheetView>
  </sheetViews>
  <sheetFormatPr defaultColWidth="8.81640625" defaultRowHeight="14.5" x14ac:dyDescent="0.35"/>
  <cols>
    <col min="2" max="2" width="11.26953125" customWidth="1"/>
    <col min="3" max="3" width="17.453125" customWidth="1"/>
    <col min="4" max="4" width="14.81640625" customWidth="1"/>
  </cols>
  <sheetData>
    <row r="2" spans="2:7" x14ac:dyDescent="0.35">
      <c r="B2" s="26" t="s">
        <v>49</v>
      </c>
      <c r="C2" s="27"/>
      <c r="D2" s="27"/>
    </row>
    <row r="3" spans="2:7" x14ac:dyDescent="0.35">
      <c r="B3" s="1" t="s">
        <v>1</v>
      </c>
      <c r="C3" s="1" t="s">
        <v>2</v>
      </c>
      <c r="D3" s="1" t="s">
        <v>3</v>
      </c>
      <c r="G3" s="3" t="s">
        <v>32</v>
      </c>
    </row>
    <row r="4" spans="2:7" x14ac:dyDescent="0.35">
      <c r="B4">
        <v>35</v>
      </c>
      <c r="C4">
        <v>55</v>
      </c>
      <c r="D4">
        <v>60</v>
      </c>
      <c r="G4" t="s">
        <v>33</v>
      </c>
    </row>
    <row r="5" spans="2:7" x14ac:dyDescent="0.35">
      <c r="G5" t="s">
        <v>34</v>
      </c>
    </row>
    <row r="6" spans="2:7" x14ac:dyDescent="0.35">
      <c r="G6" t="s">
        <v>35</v>
      </c>
    </row>
    <row r="7" spans="2:7" x14ac:dyDescent="0.35">
      <c r="G7" t="s">
        <v>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6"/>
  <sheetViews>
    <sheetView showGridLines="0" zoomScale="145" zoomScaleNormal="145" workbookViewId="0">
      <selection activeCell="Q7" sqref="Q7:Q11"/>
    </sheetView>
  </sheetViews>
  <sheetFormatPr defaultColWidth="8.81640625" defaultRowHeight="14.5" x14ac:dyDescent="0.35"/>
  <cols>
    <col min="4" max="4" width="18.81640625" customWidth="1"/>
    <col min="5" max="5" width="16.6328125" customWidth="1"/>
  </cols>
  <sheetData>
    <row r="1" spans="1:24" ht="15" thickBot="1" x14ac:dyDescent="0.4"/>
    <row r="2" spans="1:24" ht="15" thickBot="1" x14ac:dyDescent="0.4">
      <c r="B2" s="28" t="s">
        <v>50</v>
      </c>
      <c r="C2" s="23"/>
      <c r="D2" s="23"/>
      <c r="E2" s="23"/>
      <c r="F2" s="23"/>
      <c r="G2" s="23"/>
      <c r="H2" s="23"/>
      <c r="I2" s="23"/>
      <c r="J2" s="24"/>
    </row>
    <row r="3" spans="1:24" s="29" customFormat="1" ht="15" thickBot="1" x14ac:dyDescent="0.4">
      <c r="B3" s="30"/>
      <c r="C3" s="30"/>
      <c r="D3" s="30"/>
      <c r="E3" s="30"/>
      <c r="F3" s="30"/>
      <c r="G3" s="30"/>
      <c r="H3" s="30"/>
      <c r="I3" s="30"/>
      <c r="J3" s="30"/>
    </row>
    <row r="4" spans="1:24" ht="15" thickBot="1" x14ac:dyDescent="0.4">
      <c r="C4" s="31" t="s">
        <v>1</v>
      </c>
      <c r="D4" s="32" t="s">
        <v>2</v>
      </c>
      <c r="E4" s="33" t="s">
        <v>3</v>
      </c>
      <c r="G4" s="12" t="s">
        <v>19</v>
      </c>
    </row>
    <row r="5" spans="1:24" ht="15" thickBot="1" x14ac:dyDescent="0.4">
      <c r="C5" s="7">
        <f>'03 - New Client'!B4</f>
        <v>35</v>
      </c>
      <c r="D5" s="7">
        <f>'03 - New Client'!C4</f>
        <v>55</v>
      </c>
      <c r="E5" s="7">
        <f>'03 - New Client'!D4</f>
        <v>60</v>
      </c>
      <c r="P5" s="3" t="s">
        <v>37</v>
      </c>
    </row>
    <row r="6" spans="1:24" ht="15" thickBot="1" x14ac:dyDescent="0.4">
      <c r="B6" s="1" t="s">
        <v>5</v>
      </c>
      <c r="C6" s="34">
        <f>(C5-'02 - Scaled Data'!C2)/'02 - Scaled Data'!C3</f>
        <v>-0.56022734615777059</v>
      </c>
      <c r="D6" s="34">
        <f>(D5-'02 - Scaled Data'!D2)/'02 - Scaled Data'!D3</f>
        <v>-0.42870214795227696</v>
      </c>
      <c r="E6" s="34">
        <f>(E5-'02 - Scaled Data'!E2)/'02 - Scaled Data'!E3</f>
        <v>0.36010941906756916</v>
      </c>
      <c r="F6" s="8" t="s">
        <v>8</v>
      </c>
      <c r="G6" s="8" t="s">
        <v>9</v>
      </c>
      <c r="H6" s="8" t="s">
        <v>10</v>
      </c>
      <c r="I6" s="9" t="s">
        <v>5</v>
      </c>
      <c r="J6" s="9" t="s">
        <v>11</v>
      </c>
      <c r="M6" s="10" t="s">
        <v>5</v>
      </c>
      <c r="N6" s="10" t="s">
        <v>13</v>
      </c>
      <c r="P6" s="10" t="s">
        <v>5</v>
      </c>
      <c r="Q6" s="10" t="s">
        <v>13</v>
      </c>
      <c r="S6" s="22" t="s">
        <v>38</v>
      </c>
      <c r="T6" s="23"/>
      <c r="U6" s="23"/>
      <c r="V6" s="23"/>
      <c r="W6" s="23"/>
      <c r="X6" s="24"/>
    </row>
    <row r="7" spans="1:24" x14ac:dyDescent="0.35">
      <c r="A7">
        <v>1</v>
      </c>
      <c r="B7">
        <v>1.857195513895548</v>
      </c>
      <c r="C7" s="35">
        <f>'02 - Scaled Data'!C6</f>
        <v>0.84872765615518519</v>
      </c>
      <c r="D7" s="35">
        <f>'02 - Scaled Data'!D6</f>
        <v>-0.12914319363779761</v>
      </c>
      <c r="E7" s="35">
        <f>'02 - Scaled Data'!E6</f>
        <v>-0.79738514222104573</v>
      </c>
      <c r="F7" s="35">
        <f>POWER(C7-C6,2)</f>
        <v>1.9851541985427013</v>
      </c>
      <c r="G7" s="35">
        <f>POWER(D7-D6,2)</f>
        <v>8.9735567109984302E-2</v>
      </c>
      <c r="H7" s="35">
        <f>POWER(E7-E6,2)</f>
        <v>1.3397936594127231</v>
      </c>
      <c r="I7" s="35">
        <f>SQRT(SUM(F7:H7))</f>
        <v>1.8478862045768427</v>
      </c>
      <c r="J7" s="5" t="str">
        <f>'01 - Original Data'!$E3</f>
        <v>Low Value</v>
      </c>
      <c r="K7" s="5"/>
      <c r="M7" s="35">
        <f>I7</f>
        <v>1.8478862045768427</v>
      </c>
      <c r="N7">
        <f t="shared" ref="N7:N38" si="0">A7</f>
        <v>1</v>
      </c>
      <c r="P7" s="36">
        <v>0.62261331127456965</v>
      </c>
      <c r="Q7" s="13">
        <v>90</v>
      </c>
      <c r="S7" s="16" t="s">
        <v>39</v>
      </c>
      <c r="T7" s="17"/>
      <c r="U7" s="17"/>
      <c r="V7" s="17"/>
      <c r="W7" s="17"/>
      <c r="X7" s="18"/>
    </row>
    <row r="8" spans="1:24" x14ac:dyDescent="0.35">
      <c r="A8">
        <v>2</v>
      </c>
      <c r="B8">
        <v>2.564050707477092</v>
      </c>
      <c r="C8" s="35">
        <f>'02 - Scaled Data'!C7</f>
        <v>1.7209378956822532</v>
      </c>
      <c r="D8" s="35">
        <f>'02 - Scaled Data'!D7</f>
        <v>0.53654337150548981</v>
      </c>
      <c r="E8" s="35">
        <f>'02 - Scaled Data'!E7</f>
        <v>0.97100932641433813</v>
      </c>
      <c r="F8" s="35">
        <f t="shared" ref="F8:F71" si="1">POWER(C8-C7,2)</f>
        <v>0.76075070193586536</v>
      </c>
      <c r="G8" s="35">
        <f t="shared" ref="G8:G71" si="2">POWER(D8-D7,2)</f>
        <v>0.44313860301226821</v>
      </c>
      <c r="H8" s="35">
        <f t="shared" ref="H8:H71" si="3">POWER(E8-E7,2)</f>
        <v>3.1272189967002215</v>
      </c>
      <c r="I8" s="35">
        <f t="shared" ref="I8:I71" si="4">SQRT(SUM(F8:H8))</f>
        <v>2.0811314955207312</v>
      </c>
      <c r="J8" s="5" t="str">
        <f>'01 - Original Data'!$E4</f>
        <v>Premium</v>
      </c>
      <c r="K8" s="5"/>
      <c r="M8" s="35">
        <f t="shared" ref="M8:M71" si="5">I8</f>
        <v>2.0811314955207312</v>
      </c>
      <c r="N8">
        <f t="shared" si="0"/>
        <v>2</v>
      </c>
      <c r="P8" s="36">
        <v>0.89534590680944703</v>
      </c>
      <c r="Q8" s="13">
        <v>10</v>
      </c>
      <c r="S8" s="16" t="s">
        <v>40</v>
      </c>
      <c r="T8" s="17"/>
      <c r="U8" s="17"/>
      <c r="V8" s="17"/>
      <c r="W8" s="17"/>
      <c r="X8" s="18"/>
    </row>
    <row r="9" spans="1:24" x14ac:dyDescent="0.35">
      <c r="A9">
        <v>3</v>
      </c>
      <c r="B9">
        <v>1.922134264040841</v>
      </c>
      <c r="C9" s="35">
        <f>'02 - Scaled Data'!C8</f>
        <v>0.1777967026728253</v>
      </c>
      <c r="D9" s="35">
        <f>'02 - Scaled Data'!D8</f>
        <v>1.3353672496774347</v>
      </c>
      <c r="E9" s="35">
        <f>'02 - Scaled Data'!E8</f>
        <v>0.32795679236510761</v>
      </c>
      <c r="F9" s="35">
        <f t="shared" si="1"/>
        <v>2.3812847415625602</v>
      </c>
      <c r="G9" s="35">
        <f t="shared" si="2"/>
        <v>0.63811958833766624</v>
      </c>
      <c r="H9" s="35">
        <f t="shared" si="3"/>
        <v>0.41351656154713684</v>
      </c>
      <c r="I9" s="35">
        <f t="shared" si="4"/>
        <v>1.8528143165053974</v>
      </c>
      <c r="J9" s="5" t="str">
        <f>'01 - Original Data'!$E5</f>
        <v>Standard</v>
      </c>
      <c r="K9" s="5"/>
      <c r="M9" s="35">
        <f t="shared" si="5"/>
        <v>1.8528143165053974</v>
      </c>
      <c r="N9">
        <f t="shared" si="0"/>
        <v>3</v>
      </c>
      <c r="P9" s="36">
        <v>0.90202252577501096</v>
      </c>
      <c r="Q9" s="13">
        <v>65</v>
      </c>
      <c r="S9" s="16" t="s">
        <v>41</v>
      </c>
      <c r="T9" s="17"/>
      <c r="U9" s="17"/>
      <c r="V9" s="17"/>
      <c r="W9" s="17"/>
      <c r="X9" s="18"/>
    </row>
    <row r="10" spans="1:24" ht="15" thickBot="1" x14ac:dyDescent="0.4">
      <c r="A10">
        <v>4</v>
      </c>
      <c r="B10">
        <v>1.4934597428059271</v>
      </c>
      <c r="C10" s="35">
        <f>'02 - Scaled Data'!C9</f>
        <v>-0.76150663220247861</v>
      </c>
      <c r="D10" s="35">
        <f>'02 - Scaled Data'!D9</f>
        <v>0.73624934104847606</v>
      </c>
      <c r="E10" s="35">
        <f>'02 - Scaled Data'!E9</f>
        <v>-0.54016412860135354</v>
      </c>
      <c r="F10" s="35">
        <f t="shared" si="1"/>
        <v>0.88229075490786735</v>
      </c>
      <c r="G10" s="35">
        <f t="shared" si="2"/>
        <v>0.35894226843993721</v>
      </c>
      <c r="H10" s="35">
        <f t="shared" si="3"/>
        <v>0.75363393341965657</v>
      </c>
      <c r="I10" s="35">
        <f t="shared" si="4"/>
        <v>1.4123975916035334</v>
      </c>
      <c r="J10" s="5" t="str">
        <f>'01 - Original Data'!$E6</f>
        <v>Low Value</v>
      </c>
      <c r="K10" s="5"/>
      <c r="M10" s="35">
        <f t="shared" si="5"/>
        <v>1.4123975916035334</v>
      </c>
      <c r="N10">
        <f t="shared" si="0"/>
        <v>4</v>
      </c>
      <c r="P10" s="36">
        <v>0.94363939080056702</v>
      </c>
      <c r="Q10" s="13">
        <v>76</v>
      </c>
      <c r="S10" s="19" t="s">
        <v>42</v>
      </c>
      <c r="T10" s="20"/>
      <c r="U10" s="20"/>
      <c r="V10" s="20"/>
      <c r="W10" s="20"/>
      <c r="X10" s="21"/>
    </row>
    <row r="11" spans="1:24" x14ac:dyDescent="0.35">
      <c r="A11">
        <v>5</v>
      </c>
      <c r="B11">
        <v>2.2385152266021242</v>
      </c>
      <c r="C11" s="35">
        <f>'02 - Scaled Data'!C10</f>
        <v>1.1171000375481293</v>
      </c>
      <c r="D11" s="35">
        <f>'02 - Scaled Data'!D10</f>
        <v>-1.3273790108957149</v>
      </c>
      <c r="E11" s="35">
        <f>'02 - Scaled Data'!E10</f>
        <v>1.517603980356184</v>
      </c>
      <c r="F11" s="35">
        <f t="shared" si="1"/>
        <v>3.5291630196314694</v>
      </c>
      <c r="G11" s="35">
        <f t="shared" si="2"/>
        <v>4.2585619749478969</v>
      </c>
      <c r="H11" s="35">
        <f t="shared" si="3"/>
        <v>4.2344095902426799</v>
      </c>
      <c r="I11" s="35">
        <f t="shared" si="4"/>
        <v>3.4672949953561849</v>
      </c>
      <c r="J11" s="5" t="str">
        <f>'01 - Original Data'!$E7</f>
        <v>Premium</v>
      </c>
      <c r="K11" s="5"/>
      <c r="M11" s="35">
        <f t="shared" si="5"/>
        <v>3.4672949953561849</v>
      </c>
      <c r="N11">
        <f t="shared" si="0"/>
        <v>5</v>
      </c>
      <c r="P11" s="36">
        <v>1.0145080502986132</v>
      </c>
      <c r="Q11" s="13">
        <v>85</v>
      </c>
    </row>
    <row r="12" spans="1:24" x14ac:dyDescent="0.35">
      <c r="A12">
        <v>6</v>
      </c>
      <c r="B12">
        <v>2.073463350044034</v>
      </c>
      <c r="C12" s="35">
        <f>'02 - Scaled Data'!C11</f>
        <v>-1.2311582996401307</v>
      </c>
      <c r="D12" s="35">
        <f>'02 - Scaled Data'!D11</f>
        <v>1.3020829214202703</v>
      </c>
      <c r="E12" s="35">
        <f>'02 - Scaled Data'!E11</f>
        <v>1.2603829667364919</v>
      </c>
      <c r="F12" s="35">
        <f t="shared" si="1"/>
        <v>5.5143172181741713</v>
      </c>
      <c r="G12" s="35">
        <f t="shared" si="2"/>
        <v>6.9140700534989152</v>
      </c>
      <c r="H12" s="35">
        <f t="shared" si="3"/>
        <v>6.6162649847541874E-2</v>
      </c>
      <c r="I12" s="35">
        <f t="shared" si="4"/>
        <v>3.5347630644104884</v>
      </c>
      <c r="J12" s="5" t="str">
        <f>'01 - Original Data'!$E8</f>
        <v>Premium</v>
      </c>
      <c r="K12" s="5"/>
      <c r="M12" s="35">
        <f t="shared" si="5"/>
        <v>3.5347630644104884</v>
      </c>
      <c r="N12">
        <f t="shared" si="0"/>
        <v>6</v>
      </c>
      <c r="P12" s="35">
        <v>1.0163664050859371</v>
      </c>
      <c r="Q12">
        <v>46</v>
      </c>
    </row>
    <row r="13" spans="1:24" x14ac:dyDescent="0.35">
      <c r="A13">
        <v>7</v>
      </c>
      <c r="B13">
        <v>1.2159661630406819</v>
      </c>
      <c r="C13" s="35">
        <f>'02 - Scaled Data'!C12</f>
        <v>-0.35894806011306268</v>
      </c>
      <c r="D13" s="35">
        <f>'02 - Scaled Data'!D12</f>
        <v>-1.5936536369530299</v>
      </c>
      <c r="E13" s="35">
        <f>'02 - Scaled Data'!E12</f>
        <v>0.10288840544787696</v>
      </c>
      <c r="F13" s="35">
        <f t="shared" si="1"/>
        <v>0.76075070193586536</v>
      </c>
      <c r="G13" s="35">
        <f t="shared" si="2"/>
        <v>8.3852902154996443</v>
      </c>
      <c r="H13" s="35">
        <f t="shared" si="3"/>
        <v>1.3397936594127231</v>
      </c>
      <c r="I13" s="35">
        <f t="shared" si="4"/>
        <v>3.238183839260556</v>
      </c>
      <c r="J13" s="5" t="str">
        <f>'01 - Original Data'!$E9</f>
        <v>Standard</v>
      </c>
      <c r="K13" s="5"/>
      <c r="M13" s="35">
        <f t="shared" si="5"/>
        <v>3.238183839260556</v>
      </c>
      <c r="N13">
        <f t="shared" si="0"/>
        <v>7</v>
      </c>
      <c r="P13" s="35">
        <v>1.0212024497601597</v>
      </c>
      <c r="Q13">
        <v>67</v>
      </c>
    </row>
    <row r="14" spans="1:24" x14ac:dyDescent="0.35">
      <c r="A14">
        <v>8</v>
      </c>
      <c r="B14">
        <v>1.699031520347269</v>
      </c>
      <c r="C14" s="35">
        <f>'02 - Scaled Data'!C13</f>
        <v>0.84872765615518519</v>
      </c>
      <c r="D14" s="35">
        <f>'02 - Scaled Data'!D13</f>
        <v>-1.3606633391528793</v>
      </c>
      <c r="E14" s="35">
        <f>'02 - Scaled Data'!E13</f>
        <v>0.4244146724724922</v>
      </c>
      <c r="F14" s="35">
        <f t="shared" si="1"/>
        <v>1.4584806356640256</v>
      </c>
      <c r="G14" s="35">
        <f t="shared" si="2"/>
        <v>5.4284478869002846E-2</v>
      </c>
      <c r="H14" s="35">
        <f t="shared" si="3"/>
        <v>0.10337914038678418</v>
      </c>
      <c r="I14" s="35">
        <f t="shared" si="4"/>
        <v>1.2712766240751117</v>
      </c>
      <c r="J14" s="5" t="str">
        <f>'01 - Original Data'!$E10</f>
        <v>Standard</v>
      </c>
      <c r="K14" s="5"/>
      <c r="M14" s="35">
        <f t="shared" si="5"/>
        <v>1.2712766240751117</v>
      </c>
      <c r="N14">
        <f t="shared" si="0"/>
        <v>8</v>
      </c>
      <c r="P14" s="35">
        <v>1.1101475104229437</v>
      </c>
      <c r="Q14">
        <v>26</v>
      </c>
    </row>
    <row r="15" spans="1:24" x14ac:dyDescent="0.35">
      <c r="A15">
        <v>9</v>
      </c>
      <c r="B15">
        <v>1.7420102185223181</v>
      </c>
      <c r="C15" s="35">
        <f>'02 - Scaled Data'!C14</f>
        <v>-0.49313425080953466</v>
      </c>
      <c r="D15" s="35">
        <f>'02 - Scaled Data'!D14</f>
        <v>1.3020829214202703</v>
      </c>
      <c r="E15" s="35">
        <f>'02 - Scaled Data'!E14</f>
        <v>0.29580416566264611</v>
      </c>
      <c r="F15" s="35">
        <f t="shared" si="1"/>
        <v>1.8005933773629947</v>
      </c>
      <c r="G15" s="35">
        <f t="shared" si="2"/>
        <v>7.0902176481962913</v>
      </c>
      <c r="H15" s="35">
        <f t="shared" si="3"/>
        <v>1.6540662461885468E-2</v>
      </c>
      <c r="I15" s="35">
        <f t="shared" si="4"/>
        <v>2.9845186694040247</v>
      </c>
      <c r="J15" s="5" t="str">
        <f>'01 - Original Data'!$E11</f>
        <v>Standard</v>
      </c>
      <c r="K15" s="5"/>
      <c r="M15" s="35">
        <f t="shared" si="5"/>
        <v>2.9845186694040247</v>
      </c>
      <c r="N15">
        <f t="shared" si="0"/>
        <v>9</v>
      </c>
      <c r="P15" s="35">
        <v>1.1613000138366838</v>
      </c>
      <c r="Q15">
        <v>63</v>
      </c>
    </row>
    <row r="16" spans="1:24" x14ac:dyDescent="0.35">
      <c r="A16">
        <v>10</v>
      </c>
      <c r="B16">
        <v>0.99813960275528224</v>
      </c>
      <c r="C16" s="35">
        <f>'02 - Scaled Data'!C15</f>
        <v>-0.22476186941659068</v>
      </c>
      <c r="D16" s="35">
        <f>'02 - Scaled Data'!D15</f>
        <v>0.46997471499116106</v>
      </c>
      <c r="E16" s="35">
        <f>'02 - Scaled Data'!E15</f>
        <v>0.10288840544787696</v>
      </c>
      <c r="F16" s="35">
        <f t="shared" si="1"/>
        <v>7.2023735094519772E-2</v>
      </c>
      <c r="G16" s="35">
        <f t="shared" si="2"/>
        <v>0.69240406720666903</v>
      </c>
      <c r="H16" s="35">
        <f t="shared" si="3"/>
        <v>3.7216490539242301E-2</v>
      </c>
      <c r="I16" s="35">
        <f t="shared" si="4"/>
        <v>0.89534590680944703</v>
      </c>
      <c r="J16" s="5" t="str">
        <f>'01 - Original Data'!$E12</f>
        <v>Standard</v>
      </c>
      <c r="K16" s="5"/>
      <c r="M16" s="35">
        <f t="shared" si="5"/>
        <v>0.89534590680944703</v>
      </c>
      <c r="N16">
        <f t="shared" si="0"/>
        <v>10</v>
      </c>
      <c r="P16" s="35">
        <v>1.180032729581086</v>
      </c>
      <c r="Q16">
        <v>100</v>
      </c>
    </row>
    <row r="17" spans="1:17" x14ac:dyDescent="0.35">
      <c r="A17">
        <v>11</v>
      </c>
      <c r="B17">
        <v>1.824311728646703</v>
      </c>
      <c r="C17" s="35">
        <f>'02 - Scaled Data'!C16</f>
        <v>-1.0298790135954226</v>
      </c>
      <c r="D17" s="35">
        <f>'02 - Scaled Data'!D16</f>
        <v>-1.2608103543813862</v>
      </c>
      <c r="E17" s="35">
        <f>'02 - Scaled Data'!E16</f>
        <v>-1.183216662650584</v>
      </c>
      <c r="F17" s="35">
        <f t="shared" si="1"/>
        <v>0.64821361585067794</v>
      </c>
      <c r="G17" s="35">
        <f t="shared" si="2"/>
        <v>2.9956169563629333</v>
      </c>
      <c r="H17" s="35">
        <f t="shared" si="3"/>
        <v>1.6540662461885469</v>
      </c>
      <c r="I17" s="35">
        <f t="shared" si="4"/>
        <v>2.3017160594656669</v>
      </c>
      <c r="J17" s="5" t="str">
        <f>'01 - Original Data'!$E13</f>
        <v>Low Value</v>
      </c>
      <c r="K17" s="5"/>
      <c r="M17" s="35">
        <f t="shared" si="5"/>
        <v>2.3017160594656669</v>
      </c>
      <c r="N17">
        <f t="shared" si="0"/>
        <v>11</v>
      </c>
      <c r="P17" s="35">
        <v>1.1895713100811349</v>
      </c>
      <c r="Q17">
        <v>36</v>
      </c>
    </row>
    <row r="18" spans="1:17" x14ac:dyDescent="0.35">
      <c r="A18">
        <v>12</v>
      </c>
      <c r="B18">
        <v>1.717369340032342</v>
      </c>
      <c r="C18" s="35">
        <f>'02 - Scaled Data'!C17</f>
        <v>-1.0298790135954226</v>
      </c>
      <c r="D18" s="35">
        <f>'02 - Scaled Data'!D17</f>
        <v>1.0690926236201197</v>
      </c>
      <c r="E18" s="35">
        <f>'02 - Scaled Data'!E17</f>
        <v>-0.31509574168412285</v>
      </c>
      <c r="F18" s="35">
        <f t="shared" si="1"/>
        <v>0</v>
      </c>
      <c r="G18" s="35">
        <f t="shared" si="2"/>
        <v>5.4284478869002868</v>
      </c>
      <c r="H18" s="35">
        <f t="shared" si="3"/>
        <v>0.75363393341965657</v>
      </c>
      <c r="I18" s="35">
        <f t="shared" si="4"/>
        <v>2.4863792591477156</v>
      </c>
      <c r="J18" s="5" t="str">
        <f>'01 - Original Data'!$E14</f>
        <v>Standard</v>
      </c>
      <c r="K18" s="5"/>
      <c r="M18" s="35">
        <f t="shared" si="5"/>
        <v>2.4863792591477156</v>
      </c>
      <c r="N18">
        <f t="shared" si="0"/>
        <v>12</v>
      </c>
      <c r="P18" s="35">
        <v>1.1981446489361112</v>
      </c>
      <c r="Q18">
        <v>95</v>
      </c>
    </row>
    <row r="19" spans="1:17" x14ac:dyDescent="0.35">
      <c r="A19">
        <v>13</v>
      </c>
      <c r="B19">
        <v>2.1339675545132559</v>
      </c>
      <c r="C19" s="35">
        <f>'02 - Scaled Data'!C18</f>
        <v>-0.15766877406835467</v>
      </c>
      <c r="D19" s="35">
        <f>'02 - Scaled Data'!D18</f>
        <v>-1.3606633391528793</v>
      </c>
      <c r="E19" s="35">
        <f>'02 - Scaled Data'!E18</f>
        <v>-1.5047429296751993</v>
      </c>
      <c r="F19" s="35">
        <f t="shared" si="1"/>
        <v>0.76075070193586514</v>
      </c>
      <c r="G19" s="35">
        <f t="shared" si="2"/>
        <v>5.9037140386309446</v>
      </c>
      <c r="H19" s="35">
        <f t="shared" si="3"/>
        <v>1.4152604318950754</v>
      </c>
      <c r="I19" s="35">
        <f t="shared" si="4"/>
        <v>2.8424857383040436</v>
      </c>
      <c r="J19" s="5" t="str">
        <f>'01 - Original Data'!$E15</f>
        <v>Low Value</v>
      </c>
      <c r="K19" s="5"/>
      <c r="M19" s="35">
        <f t="shared" si="5"/>
        <v>2.8424857383040436</v>
      </c>
      <c r="N19">
        <f t="shared" si="0"/>
        <v>13</v>
      </c>
      <c r="P19" s="35">
        <v>1.20700766826247</v>
      </c>
      <c r="Q19">
        <v>14</v>
      </c>
    </row>
    <row r="20" spans="1:17" x14ac:dyDescent="0.35">
      <c r="A20">
        <v>14</v>
      </c>
      <c r="B20">
        <v>2.2061385327295562</v>
      </c>
      <c r="C20" s="35">
        <f>'02 - Scaled Data'!C19</f>
        <v>0.64744837011047729</v>
      </c>
      <c r="D20" s="35">
        <f>'02 - Scaled Data'!D19</f>
        <v>-0.46198647620944128</v>
      </c>
      <c r="E20" s="35">
        <f>'02 - Scaled Data'!E19</f>
        <v>-1.4725903029727376</v>
      </c>
      <c r="F20" s="35">
        <f t="shared" si="1"/>
        <v>0.64821361585067805</v>
      </c>
      <c r="G20" s="35">
        <f t="shared" si="2"/>
        <v>0.80762010398985895</v>
      </c>
      <c r="H20" s="35">
        <f t="shared" si="3"/>
        <v>1.0337914038678507E-3</v>
      </c>
      <c r="I20" s="35">
        <f t="shared" si="4"/>
        <v>1.20700766826247</v>
      </c>
      <c r="J20" s="5" t="str">
        <f>'01 - Original Data'!$E16</f>
        <v>Low Value</v>
      </c>
      <c r="K20" s="5"/>
      <c r="M20" s="35">
        <f t="shared" si="5"/>
        <v>1.20700766826247</v>
      </c>
      <c r="N20">
        <f t="shared" si="0"/>
        <v>14</v>
      </c>
      <c r="P20" s="35">
        <v>1.2712766240751117</v>
      </c>
      <c r="Q20">
        <v>8</v>
      </c>
    </row>
    <row r="21" spans="1:17" x14ac:dyDescent="0.35">
      <c r="A21">
        <v>15</v>
      </c>
      <c r="B21">
        <v>1.489480451612575</v>
      </c>
      <c r="C21" s="35">
        <f>'02 - Scaled Data'!C20</f>
        <v>0.91582075150342124</v>
      </c>
      <c r="D21" s="35">
        <f>'02 - Scaled Data'!D20</f>
        <v>-0.46198647620944128</v>
      </c>
      <c r="E21" s="35">
        <f>'02 - Scaled Data'!E20</f>
        <v>0.23149891225772307</v>
      </c>
      <c r="F21" s="35">
        <f t="shared" si="1"/>
        <v>7.2023735094519772E-2</v>
      </c>
      <c r="G21" s="35">
        <f t="shared" si="2"/>
        <v>0</v>
      </c>
      <c r="H21" s="35">
        <f t="shared" si="3"/>
        <v>2.9039200534647676</v>
      </c>
      <c r="I21" s="35">
        <f t="shared" si="4"/>
        <v>1.7250924000062395</v>
      </c>
      <c r="J21" s="5" t="str">
        <f>'01 - Original Data'!$E17</f>
        <v>Standard</v>
      </c>
      <c r="K21" s="5"/>
      <c r="M21" s="35">
        <f t="shared" si="5"/>
        <v>1.7250924000062395</v>
      </c>
      <c r="N21">
        <f t="shared" si="0"/>
        <v>15</v>
      </c>
      <c r="P21" s="35">
        <v>1.3119128900329864</v>
      </c>
      <c r="Q21">
        <v>70</v>
      </c>
    </row>
    <row r="22" spans="1:17" x14ac:dyDescent="0.35">
      <c r="A22">
        <v>16</v>
      </c>
      <c r="B22">
        <v>0.79640989372584281</v>
      </c>
      <c r="C22" s="35">
        <f>'02 - Scaled Data'!C21</f>
        <v>-0.15766877406835467</v>
      </c>
      <c r="D22" s="35">
        <f>'02 - Scaled Data'!D21</f>
        <v>-0.52855513272377008</v>
      </c>
      <c r="E22" s="35">
        <f>'02 - Scaled Data'!E21</f>
        <v>1.0353145798192611</v>
      </c>
      <c r="F22" s="35">
        <f t="shared" si="1"/>
        <v>1.1523797615123164</v>
      </c>
      <c r="G22" s="35">
        <f t="shared" si="2"/>
        <v>4.4313860301226906E-3</v>
      </c>
      <c r="H22" s="35">
        <f t="shared" si="3"/>
        <v>0.64611962741740092</v>
      </c>
      <c r="I22" s="35">
        <f t="shared" si="4"/>
        <v>1.3427325776042822</v>
      </c>
      <c r="J22" s="5" t="str">
        <f>'01 - Original Data'!$E18</f>
        <v>Premium</v>
      </c>
      <c r="K22" s="5"/>
      <c r="M22" s="35">
        <f t="shared" si="5"/>
        <v>1.3427325776042822</v>
      </c>
      <c r="N22">
        <f t="shared" si="0"/>
        <v>16</v>
      </c>
      <c r="P22" s="35">
        <v>1.3195132403919483</v>
      </c>
      <c r="Q22">
        <v>39</v>
      </c>
    </row>
    <row r="23" spans="1:17" x14ac:dyDescent="0.35">
      <c r="A23">
        <v>17</v>
      </c>
      <c r="B23">
        <v>1.4489662145183659</v>
      </c>
      <c r="C23" s="35">
        <f>'02 - Scaled Data'!C22</f>
        <v>-1.5666237763813105</v>
      </c>
      <c r="D23" s="35">
        <f>'02 - Scaled Data'!D22</f>
        <v>-1.4605163239243724</v>
      </c>
      <c r="E23" s="35">
        <f>'02 - Scaled Data'!E22</f>
        <v>0.32795679236510761</v>
      </c>
      <c r="F23" s="35">
        <f t="shared" si="1"/>
        <v>1.9851541985427013</v>
      </c>
      <c r="G23" s="35">
        <f t="shared" si="2"/>
        <v>0.86855166190404554</v>
      </c>
      <c r="H23" s="35">
        <f t="shared" si="3"/>
        <v>0.5003550394720353</v>
      </c>
      <c r="I23" s="35">
        <f t="shared" si="4"/>
        <v>1.8314095391033602</v>
      </c>
      <c r="J23" s="5" t="str">
        <f>'01 - Original Data'!$E19</f>
        <v>Standard</v>
      </c>
      <c r="K23" s="5"/>
      <c r="M23" s="35">
        <f t="shared" si="5"/>
        <v>1.8314095391033602</v>
      </c>
      <c r="N23">
        <f t="shared" si="0"/>
        <v>17</v>
      </c>
      <c r="P23" s="35">
        <v>1.3427325776042822</v>
      </c>
      <c r="Q23">
        <v>16</v>
      </c>
    </row>
    <row r="24" spans="1:17" x14ac:dyDescent="0.35">
      <c r="A24">
        <v>18</v>
      </c>
      <c r="B24">
        <v>1.900928582336975</v>
      </c>
      <c r="C24" s="35">
        <f>'02 - Scaled Data'!C23</f>
        <v>-0.29185496476482664</v>
      </c>
      <c r="D24" s="35">
        <f>'02 - Scaled Data'!D23</f>
        <v>-0.26228050666645508</v>
      </c>
      <c r="E24" s="35">
        <f>'02 - Scaled Data'!E23</f>
        <v>-1.5047429296751993</v>
      </c>
      <c r="F24" s="35">
        <f t="shared" si="1"/>
        <v>1.6250355230701021</v>
      </c>
      <c r="G24" s="35">
        <f t="shared" si="2"/>
        <v>1.4357690737597488</v>
      </c>
      <c r="H24" s="35">
        <f t="shared" si="3"/>
        <v>3.3587882711666182</v>
      </c>
      <c r="I24" s="35">
        <f t="shared" si="4"/>
        <v>2.5336915494977816</v>
      </c>
      <c r="J24" s="5" t="str">
        <f>'01 - Original Data'!$E20</f>
        <v>Low Value</v>
      </c>
      <c r="K24" s="5"/>
      <c r="M24" s="35">
        <f t="shared" si="5"/>
        <v>2.5336915494977816</v>
      </c>
      <c r="N24">
        <f t="shared" si="0"/>
        <v>18</v>
      </c>
      <c r="P24" s="35">
        <v>1.4099005061122853</v>
      </c>
      <c r="Q24">
        <v>19</v>
      </c>
    </row>
    <row r="25" spans="1:17" x14ac:dyDescent="0.35">
      <c r="A25">
        <v>19</v>
      </c>
      <c r="B25">
        <v>2.1790916976746169</v>
      </c>
      <c r="C25" s="35">
        <f>'02 - Scaled Data'!C24</f>
        <v>-1.6337168717295465</v>
      </c>
      <c r="D25" s="35">
        <f>'02 - Scaled Data'!D24</f>
        <v>-0.6949767740095919</v>
      </c>
      <c r="E25" s="35">
        <f>'02 - Scaled Data'!E24</f>
        <v>-1.5047429296751993</v>
      </c>
      <c r="F25" s="35">
        <f t="shared" si="1"/>
        <v>1.8005933773629947</v>
      </c>
      <c r="G25" s="35">
        <f t="shared" si="2"/>
        <v>0.18722605977268333</v>
      </c>
      <c r="H25" s="35">
        <f t="shared" si="3"/>
        <v>0</v>
      </c>
      <c r="I25" s="35">
        <f t="shared" si="4"/>
        <v>1.4099005061122853</v>
      </c>
      <c r="J25" s="5" t="str">
        <f>'01 - Original Data'!$E21</f>
        <v>Low Value</v>
      </c>
      <c r="K25" s="5"/>
      <c r="M25" s="35">
        <f t="shared" si="5"/>
        <v>1.4099005061122853</v>
      </c>
      <c r="N25">
        <f t="shared" si="0"/>
        <v>19</v>
      </c>
      <c r="P25" s="35">
        <v>1.4123975916035334</v>
      </c>
      <c r="Q25">
        <v>4</v>
      </c>
    </row>
    <row r="26" spans="1:17" x14ac:dyDescent="0.35">
      <c r="A26">
        <v>20</v>
      </c>
      <c r="B26">
        <v>1.474481492276966</v>
      </c>
      <c r="C26" s="35">
        <f>'02 - Scaled Data'!C25</f>
        <v>-0.15766877406835467</v>
      </c>
      <c r="D26" s="35">
        <f>'02 - Scaled Data'!D25</f>
        <v>-1.3939476674100437</v>
      </c>
      <c r="E26" s="35">
        <f>'02 - Scaled Data'!E25</f>
        <v>1.3889934735463378</v>
      </c>
      <c r="F26" s="35">
        <f t="shared" si="1"/>
        <v>2.1787179866092234</v>
      </c>
      <c r="G26" s="35">
        <f t="shared" si="2"/>
        <v>0.48856030982102577</v>
      </c>
      <c r="H26" s="35">
        <f t="shared" si="3"/>
        <v>8.3737103713295191</v>
      </c>
      <c r="I26" s="35">
        <f t="shared" si="4"/>
        <v>3.3227983188511105</v>
      </c>
      <c r="J26" s="5" t="str">
        <f>'01 - Original Data'!$E22</f>
        <v>Premium</v>
      </c>
      <c r="K26" s="5"/>
      <c r="M26" s="35">
        <f t="shared" si="5"/>
        <v>3.3227983188511105</v>
      </c>
      <c r="N26">
        <f t="shared" si="0"/>
        <v>20</v>
      </c>
      <c r="P26" s="35">
        <v>1.4160404686180976</v>
      </c>
      <c r="Q26">
        <v>51</v>
      </c>
    </row>
    <row r="27" spans="1:17" x14ac:dyDescent="0.35">
      <c r="A27">
        <v>21</v>
      </c>
      <c r="B27">
        <v>2.1548304128571072</v>
      </c>
      <c r="C27" s="35">
        <f>'02 - Scaled Data'!C26</f>
        <v>1.1841931328963653</v>
      </c>
      <c r="D27" s="35">
        <f>'02 - Scaled Data'!D26</f>
        <v>0.8028179975628047</v>
      </c>
      <c r="E27" s="35">
        <f>'02 - Scaled Data'!E26</f>
        <v>0.16719365885280002</v>
      </c>
      <c r="F27" s="35">
        <f t="shared" si="1"/>
        <v>1.8005933773629947</v>
      </c>
      <c r="G27" s="35">
        <f t="shared" si="2"/>
        <v>4.8257793868036005</v>
      </c>
      <c r="H27" s="35">
        <f t="shared" si="3"/>
        <v>1.4927947871851635</v>
      </c>
      <c r="I27" s="35">
        <f t="shared" si="4"/>
        <v>2.849415299908344</v>
      </c>
      <c r="J27" s="5" t="str">
        <f>'01 - Original Data'!$E23</f>
        <v>Standard</v>
      </c>
      <c r="K27" s="5"/>
      <c r="M27" s="35">
        <f t="shared" si="5"/>
        <v>2.849415299908344</v>
      </c>
      <c r="N27">
        <f t="shared" si="0"/>
        <v>21</v>
      </c>
      <c r="P27" s="35">
        <v>1.4174616186082352</v>
      </c>
      <c r="Q27">
        <v>22</v>
      </c>
    </row>
    <row r="28" spans="1:17" x14ac:dyDescent="0.35">
      <c r="A28">
        <v>22</v>
      </c>
      <c r="B28">
        <v>1.6930089832018329</v>
      </c>
      <c r="C28" s="35">
        <f>'02 - Scaled Data'!C27</f>
        <v>0.24488979802106128</v>
      </c>
      <c r="D28" s="35">
        <f>'02 - Scaled Data'!D27</f>
        <v>0.76953366930564038</v>
      </c>
      <c r="E28" s="35">
        <f>'02 - Scaled Data'!E27</f>
        <v>1.2282303400340302</v>
      </c>
      <c r="F28" s="35">
        <f t="shared" si="1"/>
        <v>0.88229075490786757</v>
      </c>
      <c r="G28" s="35">
        <f t="shared" si="2"/>
        <v>1.1078465075306672E-3</v>
      </c>
      <c r="H28" s="35">
        <f t="shared" si="3"/>
        <v>1.1257988388120794</v>
      </c>
      <c r="I28" s="35">
        <f t="shared" si="4"/>
        <v>1.4174616186082352</v>
      </c>
      <c r="J28" s="5" t="str">
        <f>'01 - Original Data'!$E24</f>
        <v>Premium</v>
      </c>
      <c r="K28" s="5"/>
      <c r="M28" s="35">
        <f t="shared" si="5"/>
        <v>1.4174616186082352</v>
      </c>
      <c r="N28">
        <f t="shared" si="0"/>
        <v>22</v>
      </c>
      <c r="P28" s="35">
        <v>1.4999268572196636</v>
      </c>
      <c r="Q28">
        <v>34</v>
      </c>
    </row>
    <row r="29" spans="1:17" x14ac:dyDescent="0.35">
      <c r="A29">
        <v>23</v>
      </c>
      <c r="B29">
        <v>1.9536308143301759</v>
      </c>
      <c r="C29" s="35">
        <f>'02 - Scaled Data'!C28</f>
        <v>0.78163456080694926</v>
      </c>
      <c r="D29" s="35">
        <f>'02 - Scaled Data'!D28</f>
        <v>-1.2275260261242218</v>
      </c>
      <c r="E29" s="35">
        <f>'02 - Scaled Data'!E28</f>
        <v>1.517603980356184</v>
      </c>
      <c r="F29" s="35">
        <f t="shared" si="1"/>
        <v>0.2880949403780792</v>
      </c>
      <c r="G29" s="35">
        <f t="shared" si="2"/>
        <v>3.9882474271104145</v>
      </c>
      <c r="H29" s="35">
        <f t="shared" si="3"/>
        <v>8.3737103713295263E-2</v>
      </c>
      <c r="I29" s="35">
        <f t="shared" si="4"/>
        <v>2.0880803315968923</v>
      </c>
      <c r="J29" s="5" t="str">
        <f>'01 - Original Data'!$E25</f>
        <v>Premium</v>
      </c>
      <c r="K29" s="5"/>
      <c r="M29" s="35">
        <f t="shared" si="5"/>
        <v>2.0880803315968923</v>
      </c>
      <c r="N29">
        <f t="shared" si="0"/>
        <v>23</v>
      </c>
      <c r="P29" s="35">
        <v>1.5973442394494011</v>
      </c>
      <c r="Q29">
        <v>83</v>
      </c>
    </row>
    <row r="30" spans="1:17" x14ac:dyDescent="0.35">
      <c r="A30">
        <v>24</v>
      </c>
      <c r="B30">
        <v>1.611847418474198</v>
      </c>
      <c r="C30" s="35">
        <f>'02 - Scaled Data'!C29</f>
        <v>-1.6337168717295465</v>
      </c>
      <c r="D30" s="35">
        <f>'02 - Scaled Data'!D29</f>
        <v>-0.49527080446660565</v>
      </c>
      <c r="E30" s="35">
        <f>'02 - Scaled Data'!E29</f>
        <v>1.5497566070586455</v>
      </c>
      <c r="F30" s="35">
        <f t="shared" si="1"/>
        <v>5.8339225426561026</v>
      </c>
      <c r="G30" s="35">
        <f t="shared" si="2"/>
        <v>0.53619770964484459</v>
      </c>
      <c r="H30" s="35">
        <f t="shared" si="3"/>
        <v>1.0337914038678364E-3</v>
      </c>
      <c r="I30" s="35">
        <f t="shared" si="4"/>
        <v>2.5241145068528121</v>
      </c>
      <c r="J30" s="5" t="str">
        <f>'01 - Original Data'!$E26</f>
        <v>Premium</v>
      </c>
      <c r="K30" s="5"/>
      <c r="M30" s="35">
        <f t="shared" si="5"/>
        <v>2.5241145068528121</v>
      </c>
      <c r="N30">
        <f t="shared" si="0"/>
        <v>24</v>
      </c>
      <c r="P30" s="35">
        <v>1.6708570137170533</v>
      </c>
      <c r="Q30">
        <v>97</v>
      </c>
    </row>
    <row r="31" spans="1:17" x14ac:dyDescent="0.35">
      <c r="A31">
        <v>25</v>
      </c>
      <c r="B31">
        <v>1.919888424373362</v>
      </c>
      <c r="C31" s="35">
        <f>'02 - Scaled Data'!C30</f>
        <v>-0.35894806011306268</v>
      </c>
      <c r="D31" s="35">
        <f>'02 - Scaled Data'!D30</f>
        <v>-0.52855513272377008</v>
      </c>
      <c r="E31" s="35">
        <f>'02 - Scaled Data'!E30</f>
        <v>-1.5368955563776607</v>
      </c>
      <c r="F31" s="35">
        <f t="shared" si="1"/>
        <v>1.6250355230701021</v>
      </c>
      <c r="G31" s="35">
        <f t="shared" si="2"/>
        <v>1.1078465075306746E-3</v>
      </c>
      <c r="H31" s="35">
        <f t="shared" si="3"/>
        <v>9.5274215780460292</v>
      </c>
      <c r="I31" s="35">
        <f t="shared" si="4"/>
        <v>3.3396953375455767</v>
      </c>
      <c r="J31" s="5" t="str">
        <f>'01 - Original Data'!$E27</f>
        <v>Low Value</v>
      </c>
      <c r="K31" s="5"/>
      <c r="M31" s="35">
        <f t="shared" si="5"/>
        <v>3.3396953375455767</v>
      </c>
      <c r="N31">
        <f t="shared" si="0"/>
        <v>25</v>
      </c>
      <c r="P31" s="35">
        <v>1.6751535086562874</v>
      </c>
      <c r="Q31">
        <v>54</v>
      </c>
    </row>
    <row r="32" spans="1:17" x14ac:dyDescent="0.35">
      <c r="A32">
        <v>26</v>
      </c>
      <c r="B32">
        <v>1.714515280840418</v>
      </c>
      <c r="C32" s="35">
        <f>'02 - Scaled Data'!C31</f>
        <v>0.44616908406576927</v>
      </c>
      <c r="D32" s="35">
        <f>'02 - Scaled Data'!D31</f>
        <v>-2.9290208866304495E-2</v>
      </c>
      <c r="E32" s="35">
        <f>'02 - Scaled Data'!E31</f>
        <v>-0.95814827573335326</v>
      </c>
      <c r="F32" s="35">
        <f t="shared" si="1"/>
        <v>0.64821361585067805</v>
      </c>
      <c r="G32" s="35">
        <f t="shared" si="2"/>
        <v>0.2492654641944009</v>
      </c>
      <c r="H32" s="35">
        <f t="shared" si="3"/>
        <v>0.33494841485318078</v>
      </c>
      <c r="I32" s="35">
        <f t="shared" si="4"/>
        <v>1.1101475104229437</v>
      </c>
      <c r="J32" s="5" t="str">
        <f>'01 - Original Data'!$E28</f>
        <v>Low Value</v>
      </c>
      <c r="K32" s="5"/>
      <c r="M32" s="35">
        <f t="shared" si="5"/>
        <v>1.1101475104229437</v>
      </c>
      <c r="N32">
        <f t="shared" si="0"/>
        <v>26</v>
      </c>
      <c r="P32" s="35">
        <v>1.7159264838048034</v>
      </c>
      <c r="Q32">
        <v>64</v>
      </c>
    </row>
    <row r="33" spans="1:17" x14ac:dyDescent="0.35">
      <c r="A33">
        <v>27</v>
      </c>
      <c r="B33">
        <v>1.9661154200083779</v>
      </c>
      <c r="C33" s="35">
        <f>'02 - Scaled Data'!C32</f>
        <v>-0.96278591824718662</v>
      </c>
      <c r="D33" s="35">
        <f>'02 - Scaled Data'!D32</f>
        <v>-0.86139841529541372</v>
      </c>
      <c r="E33" s="35">
        <f>'02 - Scaled Data'!E32</f>
        <v>-1.5047429296751993</v>
      </c>
      <c r="F33" s="35">
        <f t="shared" si="1"/>
        <v>1.9851541985427013</v>
      </c>
      <c r="G33" s="35">
        <f t="shared" si="2"/>
        <v>0.69240406720666903</v>
      </c>
      <c r="H33" s="35">
        <f t="shared" si="3"/>
        <v>0.29876571571780641</v>
      </c>
      <c r="I33" s="35">
        <f t="shared" si="4"/>
        <v>1.7252025914272147</v>
      </c>
      <c r="J33" s="5" t="str">
        <f>'01 - Original Data'!$E29</f>
        <v>Low Value</v>
      </c>
      <c r="K33" s="5"/>
      <c r="M33" s="35">
        <f t="shared" si="5"/>
        <v>1.7252025914272147</v>
      </c>
      <c r="N33">
        <f t="shared" si="0"/>
        <v>27</v>
      </c>
      <c r="P33" s="35">
        <v>1.7250924000062395</v>
      </c>
      <c r="Q33">
        <v>15</v>
      </c>
    </row>
    <row r="34" spans="1:17" x14ac:dyDescent="0.35">
      <c r="A34">
        <v>28</v>
      </c>
      <c r="B34">
        <v>0.93828973631147217</v>
      </c>
      <c r="C34" s="35">
        <f>'02 - Scaled Data'!C33</f>
        <v>-0.29185496476482664</v>
      </c>
      <c r="D34" s="35">
        <f>'02 - Scaled Data'!D33</f>
        <v>0.43669038673399668</v>
      </c>
      <c r="E34" s="35">
        <f>'02 - Scaled Data'!E33</f>
        <v>0.1350410321503385</v>
      </c>
      <c r="F34" s="35">
        <f t="shared" si="1"/>
        <v>0.45014834434074869</v>
      </c>
      <c r="G34" s="35">
        <f t="shared" si="2"/>
        <v>1.6850345379541496</v>
      </c>
      <c r="H34" s="35">
        <f t="shared" si="3"/>
        <v>2.6888914414602572</v>
      </c>
      <c r="I34" s="35">
        <f t="shared" si="4"/>
        <v>2.1963775458138239</v>
      </c>
      <c r="J34" s="5" t="str">
        <f>'01 - Original Data'!$E30</f>
        <v>Standard</v>
      </c>
      <c r="K34" s="5"/>
      <c r="M34" s="35">
        <f t="shared" si="5"/>
        <v>2.1963775458138239</v>
      </c>
      <c r="N34">
        <f t="shared" si="0"/>
        <v>28</v>
      </c>
      <c r="P34" s="35">
        <v>1.7252025914272147</v>
      </c>
      <c r="Q34">
        <v>27</v>
      </c>
    </row>
    <row r="35" spans="1:17" x14ac:dyDescent="0.35">
      <c r="A35">
        <v>29</v>
      </c>
      <c r="B35">
        <v>2.5232795645959718</v>
      </c>
      <c r="C35" s="35">
        <f>'02 - Scaled Data'!C34</f>
        <v>1.1841931328963653</v>
      </c>
      <c r="D35" s="35">
        <f>'02 - Scaled Data'!D34</f>
        <v>1.3020829214202703</v>
      </c>
      <c r="E35" s="35">
        <f>'02 - Scaled Data'!E34</f>
        <v>-0.15433260817181521</v>
      </c>
      <c r="F35" s="35">
        <f t="shared" si="1"/>
        <v>2.1787179866092239</v>
      </c>
      <c r="G35" s="35">
        <f t="shared" si="2"/>
        <v>0.74890423909073334</v>
      </c>
      <c r="H35" s="35">
        <f t="shared" si="3"/>
        <v>8.3737103713295194E-2</v>
      </c>
      <c r="I35" s="35">
        <f t="shared" si="4"/>
        <v>1.7353268652946201</v>
      </c>
      <c r="J35" s="5" t="str">
        <f>'01 - Original Data'!$E31</f>
        <v>Standard</v>
      </c>
      <c r="K35" s="5"/>
      <c r="M35" s="35">
        <f t="shared" si="5"/>
        <v>1.7353268652946201</v>
      </c>
      <c r="N35">
        <f t="shared" si="0"/>
        <v>29</v>
      </c>
      <c r="P35" s="35">
        <v>1.7353268652946201</v>
      </c>
      <c r="Q35">
        <v>29</v>
      </c>
    </row>
    <row r="36" spans="1:17" x14ac:dyDescent="0.35">
      <c r="A36">
        <v>30</v>
      </c>
      <c r="B36">
        <v>1.078763226900455</v>
      </c>
      <c r="C36" s="35">
        <f>'02 - Scaled Data'!C35</f>
        <v>-9.057567872011868E-2</v>
      </c>
      <c r="D36" s="35">
        <f>'02 - Scaled Data'!D35</f>
        <v>-0.39541781969511258</v>
      </c>
      <c r="E36" s="35">
        <f>'02 - Scaled Data'!E35</f>
        <v>1.324688220141415</v>
      </c>
      <c r="F36" s="35">
        <f t="shared" si="1"/>
        <v>1.6250355230701026</v>
      </c>
      <c r="G36" s="35">
        <f t="shared" si="2"/>
        <v>2.8815087660872742</v>
      </c>
      <c r="H36" s="35">
        <f t="shared" si="3"/>
        <v>2.1875026105843536</v>
      </c>
      <c r="I36" s="35">
        <f t="shared" si="4"/>
        <v>2.5872856239197346</v>
      </c>
      <c r="J36" s="5" t="str">
        <f>'01 - Original Data'!$E32</f>
        <v>Premium</v>
      </c>
      <c r="K36" s="5"/>
      <c r="M36" s="35">
        <f t="shared" si="5"/>
        <v>2.5872856239197346</v>
      </c>
      <c r="N36">
        <f t="shared" si="0"/>
        <v>30</v>
      </c>
      <c r="P36" s="35">
        <v>1.780238398103537</v>
      </c>
      <c r="Q36">
        <v>68</v>
      </c>
    </row>
    <row r="37" spans="1:17" x14ac:dyDescent="0.35">
      <c r="A37">
        <v>31</v>
      </c>
      <c r="B37">
        <v>3.1031852059391838</v>
      </c>
      <c r="C37" s="35">
        <f>'02 - Scaled Data'!C36</f>
        <v>1.5196586096375451</v>
      </c>
      <c r="D37" s="35">
        <f>'02 - Scaled Data'!D36</f>
        <v>1.6682105322490783</v>
      </c>
      <c r="E37" s="35">
        <f>'02 - Scaled Data'!E36</f>
        <v>-0.54016412860135354</v>
      </c>
      <c r="F37" s="35">
        <f t="shared" si="1"/>
        <v>2.5928544634027118</v>
      </c>
      <c r="G37" s="35">
        <f t="shared" si="2"/>
        <v>4.2585619749478969</v>
      </c>
      <c r="H37" s="35">
        <f t="shared" si="3"/>
        <v>3.47767428261142</v>
      </c>
      <c r="I37" s="35">
        <f t="shared" si="4"/>
        <v>3.2138902783016765</v>
      </c>
      <c r="J37" s="5" t="str">
        <f>'01 - Original Data'!$E33</f>
        <v>Low Value</v>
      </c>
      <c r="K37" s="5"/>
      <c r="M37" s="35">
        <f t="shared" si="5"/>
        <v>3.2138902783016765</v>
      </c>
      <c r="N37">
        <f t="shared" si="0"/>
        <v>31</v>
      </c>
      <c r="P37" s="35">
        <v>1.8314095391033602</v>
      </c>
      <c r="Q37">
        <v>17</v>
      </c>
    </row>
    <row r="38" spans="1:17" x14ac:dyDescent="0.35">
      <c r="A38">
        <v>32</v>
      </c>
      <c r="B38">
        <v>0.73779734686098231</v>
      </c>
      <c r="C38" s="35">
        <f>'02 - Scaled Data'!C37</f>
        <v>4.3610511976353301E-2</v>
      </c>
      <c r="D38" s="35">
        <f>'02 - Scaled Data'!D37</f>
        <v>-0.16242752189496198</v>
      </c>
      <c r="E38" s="35">
        <f>'02 - Scaled Data'!E37</f>
        <v>0.68163568609218439</v>
      </c>
      <c r="F38" s="35">
        <f t="shared" si="1"/>
        <v>2.1787179866092234</v>
      </c>
      <c r="G38" s="35">
        <f t="shared" si="2"/>
        <v>3.3512356852802783</v>
      </c>
      <c r="H38" s="35">
        <f t="shared" si="3"/>
        <v>1.4927947871851635</v>
      </c>
      <c r="I38" s="35">
        <f t="shared" si="4"/>
        <v>2.6500468786560485</v>
      </c>
      <c r="J38" s="5" t="str">
        <f>'01 - Original Data'!$E34</f>
        <v>Premium</v>
      </c>
      <c r="K38" s="5"/>
      <c r="M38" s="35">
        <f t="shared" si="5"/>
        <v>2.6500468786560485</v>
      </c>
      <c r="N38">
        <f t="shared" si="0"/>
        <v>32</v>
      </c>
      <c r="P38" s="35">
        <v>1.8332282563319213</v>
      </c>
      <c r="Q38">
        <v>66</v>
      </c>
    </row>
    <row r="39" spans="1:17" x14ac:dyDescent="0.35">
      <c r="A39">
        <v>33</v>
      </c>
      <c r="B39">
        <v>2.497061544380923</v>
      </c>
      <c r="C39" s="35">
        <f>'02 - Scaled Data'!C38</f>
        <v>1.0500069421998932</v>
      </c>
      <c r="D39" s="35">
        <f>'02 - Scaled Data'!D38</f>
        <v>1.2355142649059416</v>
      </c>
      <c r="E39" s="35">
        <f>'02 - Scaled Data'!E38</f>
        <v>-0.54016412860135354</v>
      </c>
      <c r="F39" s="35">
        <f t="shared" si="1"/>
        <v>1.0128337747666845</v>
      </c>
      <c r="G39" s="35">
        <f t="shared" si="2"/>
        <v>1.9542412392841031</v>
      </c>
      <c r="H39" s="35">
        <f t="shared" si="3"/>
        <v>1.4927947871851635</v>
      </c>
      <c r="I39" s="35">
        <f t="shared" si="4"/>
        <v>2.1118403825185159</v>
      </c>
      <c r="J39" s="5" t="str">
        <f>'01 - Original Data'!$E35</f>
        <v>Low Value</v>
      </c>
      <c r="K39" s="5"/>
      <c r="M39" s="35">
        <f t="shared" si="5"/>
        <v>2.1118403825185159</v>
      </c>
      <c r="N39">
        <f t="shared" ref="N39:N70" si="6">A39</f>
        <v>33</v>
      </c>
      <c r="P39" s="35">
        <v>1.843065358047274</v>
      </c>
      <c r="Q39">
        <v>81</v>
      </c>
    </row>
    <row r="40" spans="1:17" x14ac:dyDescent="0.35">
      <c r="A40">
        <v>34</v>
      </c>
      <c r="B40">
        <v>1.9765153193294529</v>
      </c>
      <c r="C40" s="35">
        <f>'02 - Scaled Data'!C39</f>
        <v>0.1107036073245893</v>
      </c>
      <c r="D40" s="35">
        <f>'02 - Scaled Data'!D39</f>
        <v>1.4019359061917633</v>
      </c>
      <c r="E40" s="35">
        <f>'02 - Scaled Data'!E39</f>
        <v>0.61733043268726129</v>
      </c>
      <c r="F40" s="35">
        <f t="shared" si="1"/>
        <v>0.88229075490786735</v>
      </c>
      <c r="G40" s="35">
        <f t="shared" si="2"/>
        <v>2.7696162688266718E-2</v>
      </c>
      <c r="H40" s="35">
        <f t="shared" si="3"/>
        <v>1.3397936594127231</v>
      </c>
      <c r="I40" s="35">
        <f t="shared" si="4"/>
        <v>1.4999268572196636</v>
      </c>
      <c r="J40" s="5" t="str">
        <f>'01 - Original Data'!$E36</f>
        <v>Premium</v>
      </c>
      <c r="K40" s="5"/>
      <c r="M40" s="35">
        <f t="shared" si="5"/>
        <v>1.4999268572196636</v>
      </c>
      <c r="N40">
        <f t="shared" si="6"/>
        <v>34</v>
      </c>
      <c r="P40" s="35">
        <v>1.8478862045768427</v>
      </c>
      <c r="Q40">
        <v>1</v>
      </c>
    </row>
    <row r="41" spans="1:17" x14ac:dyDescent="0.35">
      <c r="A41">
        <v>35</v>
      </c>
      <c r="B41">
        <v>0.21310253940501339</v>
      </c>
      <c r="C41" s="35">
        <f>'02 - Scaled Data'!C40</f>
        <v>-0.69441353685424267</v>
      </c>
      <c r="D41" s="35">
        <f>'02 - Scaled Data'!D40</f>
        <v>-0.46198647620944128</v>
      </c>
      <c r="E41" s="35">
        <f>'02 - Scaled Data'!E40</f>
        <v>0.19934628555526154</v>
      </c>
      <c r="F41" s="35">
        <f t="shared" si="1"/>
        <v>0.64821361585067805</v>
      </c>
      <c r="G41" s="35">
        <f t="shared" si="2"/>
        <v>3.4742066476161821</v>
      </c>
      <c r="H41" s="35">
        <f t="shared" si="3"/>
        <v>0.1747107472536652</v>
      </c>
      <c r="I41" s="35">
        <f t="shared" si="4"/>
        <v>2.0729522451616016</v>
      </c>
      <c r="J41" s="5" t="str">
        <f>'01 - Original Data'!$E37</f>
        <v>Standard</v>
      </c>
      <c r="K41" s="5"/>
      <c r="M41" s="35">
        <f t="shared" si="5"/>
        <v>2.0729522451616016</v>
      </c>
      <c r="N41">
        <f t="shared" si="6"/>
        <v>35</v>
      </c>
      <c r="P41" s="35">
        <v>1.8528143165053974</v>
      </c>
      <c r="Q41">
        <v>3</v>
      </c>
    </row>
    <row r="42" spans="1:17" x14ac:dyDescent="0.35">
      <c r="A42">
        <v>36</v>
      </c>
      <c r="B42">
        <v>1.103170513342937</v>
      </c>
      <c r="C42" s="35">
        <f>'02 - Scaled Data'!C41</f>
        <v>-0.76150663220247861</v>
      </c>
      <c r="D42" s="35">
        <f>'02 - Scaled Data'!D41</f>
        <v>0.53654337150548981</v>
      </c>
      <c r="E42" s="35">
        <f>'02 - Scaled Data'!E41</f>
        <v>0.84239881960449203</v>
      </c>
      <c r="F42" s="35">
        <f t="shared" si="1"/>
        <v>4.501483443407478E-3</v>
      </c>
      <c r="G42" s="35">
        <f t="shared" si="2"/>
        <v>0.99706185677760362</v>
      </c>
      <c r="H42" s="35">
        <f t="shared" si="3"/>
        <v>0.41351656154713673</v>
      </c>
      <c r="I42" s="35">
        <f t="shared" si="4"/>
        <v>1.1895713100811349</v>
      </c>
      <c r="J42" s="5" t="str">
        <f>'01 - Original Data'!$E38</f>
        <v>Premium</v>
      </c>
      <c r="K42" s="5"/>
      <c r="M42" s="35">
        <f t="shared" si="5"/>
        <v>1.1895713100811349</v>
      </c>
      <c r="N42">
        <f t="shared" si="6"/>
        <v>36</v>
      </c>
      <c r="P42" s="35">
        <v>1.8785976169279159</v>
      </c>
      <c r="Q42">
        <v>78</v>
      </c>
    </row>
    <row r="43" spans="1:17" x14ac:dyDescent="0.35">
      <c r="A43">
        <v>37</v>
      </c>
      <c r="B43">
        <v>2.8778729214959462</v>
      </c>
      <c r="C43" s="35">
        <f>'02 - Scaled Data'!C42</f>
        <v>1.3854724189410732</v>
      </c>
      <c r="D43" s="35">
        <f>'02 - Scaled Data'!D42</f>
        <v>1.6682105322490783</v>
      </c>
      <c r="E43" s="35">
        <f>'02 - Scaled Data'!E42</f>
        <v>0.23149891225772307</v>
      </c>
      <c r="F43" s="35">
        <f t="shared" si="1"/>
        <v>4.6095190460492654</v>
      </c>
      <c r="G43" s="35">
        <f t="shared" si="2"/>
        <v>1.2806705627054549</v>
      </c>
      <c r="H43" s="35">
        <f t="shared" si="3"/>
        <v>0.37319869679629086</v>
      </c>
      <c r="I43" s="35">
        <f t="shared" si="4"/>
        <v>2.5026762286702233</v>
      </c>
      <c r="J43" s="5" t="str">
        <f>'01 - Original Data'!$E39</f>
        <v>Standard</v>
      </c>
      <c r="K43" s="5"/>
      <c r="M43" s="35">
        <f t="shared" si="5"/>
        <v>2.5026762286702233</v>
      </c>
      <c r="N43">
        <f t="shared" si="6"/>
        <v>37</v>
      </c>
      <c r="P43" s="35">
        <v>1.9500796360230532</v>
      </c>
      <c r="Q43">
        <v>86</v>
      </c>
    </row>
    <row r="44" spans="1:17" x14ac:dyDescent="0.35">
      <c r="A44">
        <v>38</v>
      </c>
      <c r="B44">
        <v>2.6491174827492419</v>
      </c>
      <c r="C44" s="35">
        <f>'02 - Scaled Data'!C43</f>
        <v>1.6538448003340172</v>
      </c>
      <c r="D44" s="35">
        <f>'02 - Scaled Data'!D43</f>
        <v>-6.257453712346886E-2</v>
      </c>
      <c r="E44" s="35">
        <f>'02 - Scaled Data'!E43</f>
        <v>-1.0224535291382764</v>
      </c>
      <c r="F44" s="35">
        <f t="shared" si="1"/>
        <v>7.2023735094519772E-2</v>
      </c>
      <c r="G44" s="35">
        <f t="shared" si="2"/>
        <v>2.9956169563629333</v>
      </c>
      <c r="H44" s="35">
        <f t="shared" si="3"/>
        <v>1.5723967252829876</v>
      </c>
      <c r="I44" s="35">
        <f t="shared" si="4"/>
        <v>2.1540746079791298</v>
      </c>
      <c r="J44" s="5" t="str">
        <f>'01 - Original Data'!$E40</f>
        <v>Low Value</v>
      </c>
      <c r="K44" s="5"/>
      <c r="M44" s="35">
        <f t="shared" si="5"/>
        <v>2.1540746079791298</v>
      </c>
      <c r="N44">
        <f t="shared" si="6"/>
        <v>38</v>
      </c>
      <c r="P44" s="35">
        <v>1.9806133113928712</v>
      </c>
      <c r="Q44">
        <v>99</v>
      </c>
    </row>
    <row r="45" spans="1:17" x14ac:dyDescent="0.35">
      <c r="A45">
        <v>39</v>
      </c>
      <c r="B45">
        <v>2.356508092581826</v>
      </c>
      <c r="C45" s="35">
        <f>'02 - Scaled Data'!C44</f>
        <v>1.1841931328963653</v>
      </c>
      <c r="D45" s="35">
        <f>'02 - Scaled Data'!D44</f>
        <v>0.96923963884862663</v>
      </c>
      <c r="E45" s="35">
        <f>'02 - Scaled Data'!E44</f>
        <v>-0.34724836838658435</v>
      </c>
      <c r="F45" s="35">
        <f t="shared" si="1"/>
        <v>0.22057268872696673</v>
      </c>
      <c r="G45" s="35">
        <f t="shared" si="2"/>
        <v>1.0646404937369747</v>
      </c>
      <c r="H45" s="35">
        <f t="shared" si="3"/>
        <v>0.45590200910571826</v>
      </c>
      <c r="I45" s="35">
        <f t="shared" si="4"/>
        <v>1.3195132403919483</v>
      </c>
      <c r="J45" s="5" t="str">
        <f>'01 - Original Data'!$E41</f>
        <v>Standard</v>
      </c>
      <c r="K45" s="5"/>
      <c r="M45" s="35">
        <f t="shared" si="5"/>
        <v>1.3195132403919483</v>
      </c>
      <c r="N45">
        <f t="shared" si="6"/>
        <v>39</v>
      </c>
      <c r="P45" s="35">
        <v>2.0101616582642912</v>
      </c>
      <c r="Q45">
        <v>89</v>
      </c>
    </row>
    <row r="46" spans="1:17" x14ac:dyDescent="0.35">
      <c r="A46">
        <v>40</v>
      </c>
      <c r="B46">
        <v>2.7978984477518121</v>
      </c>
      <c r="C46" s="35">
        <f>'02 - Scaled Data'!C45</f>
        <v>1.7209378956822532</v>
      </c>
      <c r="D46" s="35">
        <f>'02 - Scaled Data'!D45</f>
        <v>-1.5270849804387012</v>
      </c>
      <c r="E46" s="35">
        <f>'02 - Scaled Data'!E45</f>
        <v>-0.79738514222104573</v>
      </c>
      <c r="F46" s="35">
        <f t="shared" si="1"/>
        <v>0.28809494037807909</v>
      </c>
      <c r="G46" s="35">
        <f t="shared" si="2"/>
        <v>6.2316366048600216</v>
      </c>
      <c r="H46" s="35">
        <f t="shared" si="3"/>
        <v>0.20262311515809703</v>
      </c>
      <c r="I46" s="35">
        <f t="shared" si="4"/>
        <v>2.5927504045696721</v>
      </c>
      <c r="J46" s="5" t="str">
        <f>'01 - Original Data'!$E42</f>
        <v>Low Value</v>
      </c>
      <c r="K46" s="5"/>
      <c r="M46" s="35">
        <f t="shared" si="5"/>
        <v>2.5927504045696721</v>
      </c>
      <c r="N46">
        <f t="shared" si="6"/>
        <v>40</v>
      </c>
      <c r="P46" s="35">
        <v>2.0191116424474451</v>
      </c>
      <c r="Q46">
        <v>98</v>
      </c>
    </row>
    <row r="47" spans="1:17" x14ac:dyDescent="0.35">
      <c r="A47">
        <v>41</v>
      </c>
      <c r="B47">
        <v>1.574314938460424</v>
      </c>
      <c r="C47" s="35">
        <f>'02 - Scaled Data'!C46</f>
        <v>-1.5666237763813105</v>
      </c>
      <c r="D47" s="35">
        <f>'02 - Scaled Data'!D46</f>
        <v>-1.5936536369530299</v>
      </c>
      <c r="E47" s="35">
        <f>'02 - Scaled Data'!E46</f>
        <v>0.64948305938972284</v>
      </c>
      <c r="F47" s="35">
        <f t="shared" si="1"/>
        <v>10.808061747621375</v>
      </c>
      <c r="G47" s="35">
        <f t="shared" si="2"/>
        <v>4.4313860301226689E-3</v>
      </c>
      <c r="H47" s="35">
        <f t="shared" si="3"/>
        <v>2.0934275928323798</v>
      </c>
      <c r="I47" s="35">
        <f t="shared" si="4"/>
        <v>3.592481137944064</v>
      </c>
      <c r="J47" s="5" t="str">
        <f>'01 - Original Data'!$E43</f>
        <v>Premium</v>
      </c>
      <c r="K47" s="5"/>
      <c r="M47" s="35">
        <f t="shared" si="5"/>
        <v>3.592481137944064</v>
      </c>
      <c r="N47">
        <f t="shared" si="6"/>
        <v>41</v>
      </c>
      <c r="P47" s="35">
        <v>2.0371909893010751</v>
      </c>
      <c r="Q47">
        <v>56</v>
      </c>
    </row>
    <row r="48" spans="1:17" x14ac:dyDescent="0.35">
      <c r="A48">
        <v>42</v>
      </c>
      <c r="B48">
        <v>2.0554118769313718</v>
      </c>
      <c r="C48" s="35">
        <f>'02 - Scaled Data'!C47</f>
        <v>0.71454146545871322</v>
      </c>
      <c r="D48" s="35">
        <f>'02 - Scaled Data'!D47</f>
        <v>-1.4605163239243724</v>
      </c>
      <c r="E48" s="35">
        <f>'02 - Scaled Data'!E47</f>
        <v>1.5819092337611071</v>
      </c>
      <c r="F48" s="35">
        <f t="shared" si="1"/>
        <v>5.203714860579054</v>
      </c>
      <c r="G48" s="35">
        <f t="shared" si="2"/>
        <v>1.7725544120490735E-2</v>
      </c>
      <c r="H48" s="35">
        <f t="shared" si="3"/>
        <v>0.86941857065285522</v>
      </c>
      <c r="I48" s="35">
        <f t="shared" si="4"/>
        <v>2.4679665669032875</v>
      </c>
      <c r="J48" s="5" t="str">
        <f>'01 - Original Data'!$E44</f>
        <v>Premium</v>
      </c>
      <c r="K48" s="5"/>
      <c r="M48" s="35">
        <f t="shared" si="5"/>
        <v>2.4679665669032875</v>
      </c>
      <c r="N48">
        <f t="shared" si="6"/>
        <v>42</v>
      </c>
      <c r="P48" s="35">
        <v>2.0444613462130401</v>
      </c>
      <c r="Q48">
        <v>75</v>
      </c>
    </row>
    <row r="49" spans="1:17" x14ac:dyDescent="0.35">
      <c r="A49">
        <v>43</v>
      </c>
      <c r="B49">
        <v>2.884296568168478</v>
      </c>
      <c r="C49" s="35">
        <f>'02 - Scaled Data'!C48</f>
        <v>1.6538448003340172</v>
      </c>
      <c r="D49" s="35">
        <f>'02 - Scaled Data'!D48</f>
        <v>1.3686515779345991</v>
      </c>
      <c r="E49" s="35">
        <f>'02 - Scaled Data'!E48</f>
        <v>0.68163568609218439</v>
      </c>
      <c r="F49" s="35">
        <f t="shared" si="1"/>
        <v>0.88229075490786735</v>
      </c>
      <c r="G49" s="35">
        <f t="shared" si="2"/>
        <v>8.0041910169090951</v>
      </c>
      <c r="H49" s="35">
        <f t="shared" si="3"/>
        <v>0.81049246063238811</v>
      </c>
      <c r="I49" s="35">
        <f t="shared" si="4"/>
        <v>3.1139965048871443</v>
      </c>
      <c r="J49" s="5" t="str">
        <f>'01 - Original Data'!$E45</f>
        <v>Premium</v>
      </c>
      <c r="K49" s="5"/>
      <c r="M49" s="35">
        <f t="shared" si="5"/>
        <v>3.1139965048871443</v>
      </c>
      <c r="N49">
        <f t="shared" si="6"/>
        <v>43</v>
      </c>
      <c r="P49" s="35">
        <v>2.0729522451616016</v>
      </c>
      <c r="Q49">
        <v>35</v>
      </c>
    </row>
    <row r="50" spans="1:17" x14ac:dyDescent="0.35">
      <c r="A50">
        <v>44</v>
      </c>
      <c r="B50">
        <v>1.3407822966394021</v>
      </c>
      <c r="C50" s="35">
        <f>'02 - Scaled Data'!C49</f>
        <v>-1.2982513949883665</v>
      </c>
      <c r="D50" s="35">
        <f>'02 - Scaled Data'!D49</f>
        <v>-1.1609573696098932</v>
      </c>
      <c r="E50" s="35">
        <f>'02 - Scaled Data'!E49</f>
        <v>1.1960777133315688</v>
      </c>
      <c r="F50" s="35">
        <f t="shared" si="1"/>
        <v>8.7148719464368938</v>
      </c>
      <c r="G50" s="35">
        <f t="shared" si="2"/>
        <v>6.3989214274971538</v>
      </c>
      <c r="H50" s="35">
        <f t="shared" si="3"/>
        <v>0.2646505993901675</v>
      </c>
      <c r="I50" s="35">
        <f t="shared" si="4"/>
        <v>3.9215359201879325</v>
      </c>
      <c r="J50" s="5" t="str">
        <f>'01 - Original Data'!$E46</f>
        <v>Premium</v>
      </c>
      <c r="K50" s="5"/>
      <c r="M50" s="35">
        <f t="shared" si="5"/>
        <v>3.9215359201879325</v>
      </c>
      <c r="N50">
        <f t="shared" si="6"/>
        <v>44</v>
      </c>
      <c r="P50" s="35">
        <v>2.0811314955207312</v>
      </c>
      <c r="Q50">
        <v>2</v>
      </c>
    </row>
    <row r="51" spans="1:17" x14ac:dyDescent="0.35">
      <c r="A51">
        <v>45</v>
      </c>
      <c r="B51">
        <v>1.6244290617176449</v>
      </c>
      <c r="C51" s="35">
        <f>'02 - Scaled Data'!C50</f>
        <v>-0.35894806011306268</v>
      </c>
      <c r="D51" s="35">
        <f>'02 - Scaled Data'!D50</f>
        <v>-0.72826110226675622</v>
      </c>
      <c r="E51" s="35">
        <f>'02 - Scaled Data'!E50</f>
        <v>-1.2153692893530454</v>
      </c>
      <c r="F51" s="35">
        <f t="shared" si="1"/>
        <v>0.88229075490786713</v>
      </c>
      <c r="G51" s="35">
        <f t="shared" si="2"/>
        <v>0.18722605977268342</v>
      </c>
      <c r="H51" s="35">
        <f t="shared" si="3"/>
        <v>5.8150766467566095</v>
      </c>
      <c r="I51" s="35">
        <f t="shared" si="4"/>
        <v>2.6238508839942027</v>
      </c>
      <c r="J51" s="5" t="str">
        <f>'01 - Original Data'!$E47</f>
        <v>Low Value</v>
      </c>
      <c r="K51" s="5"/>
      <c r="M51" s="35">
        <f t="shared" si="5"/>
        <v>2.6238508839942027</v>
      </c>
      <c r="N51">
        <f t="shared" si="6"/>
        <v>45</v>
      </c>
      <c r="P51" s="35">
        <v>2.0880803315968923</v>
      </c>
      <c r="Q51">
        <v>23</v>
      </c>
    </row>
    <row r="52" spans="1:17" x14ac:dyDescent="0.35">
      <c r="A52">
        <v>46</v>
      </c>
      <c r="B52">
        <v>1.7904517856568001</v>
      </c>
      <c r="C52" s="35">
        <f>'02 - Scaled Data'!C51</f>
        <v>-1.1640652042918946</v>
      </c>
      <c r="D52" s="35">
        <f>'02 - Scaled Data'!D51</f>
        <v>-1.3273790108957149</v>
      </c>
      <c r="E52" s="35">
        <f>'02 - Scaled Data'!E51</f>
        <v>-1.0546061558407378</v>
      </c>
      <c r="F52" s="35">
        <f t="shared" si="1"/>
        <v>0.64821361585067805</v>
      </c>
      <c r="G52" s="35">
        <f t="shared" si="2"/>
        <v>0.35894226843993721</v>
      </c>
      <c r="H52" s="35">
        <f t="shared" si="3"/>
        <v>2.5844785096696053E-2</v>
      </c>
      <c r="I52" s="35">
        <f t="shared" si="4"/>
        <v>1.0163664050859371</v>
      </c>
      <c r="J52" s="5" t="str">
        <f>'01 - Original Data'!$E48</f>
        <v>Low Value</v>
      </c>
      <c r="K52" s="5"/>
      <c r="M52" s="35">
        <f t="shared" si="5"/>
        <v>1.0163664050859371</v>
      </c>
      <c r="N52">
        <f t="shared" si="6"/>
        <v>46</v>
      </c>
      <c r="P52" s="35">
        <v>2.1008379376098798</v>
      </c>
      <c r="Q52">
        <v>74</v>
      </c>
    </row>
    <row r="53" spans="1:17" x14ac:dyDescent="0.35">
      <c r="A53">
        <v>47</v>
      </c>
      <c r="B53">
        <v>2.3460309966482389</v>
      </c>
      <c r="C53" s="35">
        <f>'02 - Scaled Data'!C52</f>
        <v>0.84872765615518519</v>
      </c>
      <c r="D53" s="35">
        <f>'02 - Scaled Data'!D52</f>
        <v>1.0025239671057911</v>
      </c>
      <c r="E53" s="35">
        <f>'02 - Scaled Data'!E52</f>
        <v>1.5497566070586455</v>
      </c>
      <c r="F53" s="35">
        <f t="shared" si="1"/>
        <v>4.0513350990667378</v>
      </c>
      <c r="G53" s="35">
        <f t="shared" si="2"/>
        <v>5.4284478869002868</v>
      </c>
      <c r="H53" s="35">
        <f t="shared" si="3"/>
        <v>6.7827054007769094</v>
      </c>
      <c r="I53" s="35">
        <f t="shared" si="4"/>
        <v>4.03267757039215</v>
      </c>
      <c r="J53" s="5" t="str">
        <f>'01 - Original Data'!$E49</f>
        <v>Premium</v>
      </c>
      <c r="K53" s="5"/>
      <c r="M53" s="35">
        <f t="shared" si="5"/>
        <v>4.03267757039215</v>
      </c>
      <c r="N53">
        <f t="shared" si="6"/>
        <v>47</v>
      </c>
      <c r="P53" s="35">
        <v>2.1118403825185159</v>
      </c>
      <c r="Q53">
        <v>33</v>
      </c>
    </row>
    <row r="54" spans="1:17" x14ac:dyDescent="0.35">
      <c r="A54">
        <v>48</v>
      </c>
      <c r="B54">
        <v>0.81851741870403116</v>
      </c>
      <c r="C54" s="35">
        <f>'02 - Scaled Data'!C53</f>
        <v>-0.56022734615777059</v>
      </c>
      <c r="D54" s="35">
        <f>'02 - Scaled Data'!D53</f>
        <v>-1.1276730413527287</v>
      </c>
      <c r="E54" s="35">
        <f>'02 - Scaled Data'!E53</f>
        <v>0.77809356619956893</v>
      </c>
      <c r="F54" s="35">
        <f t="shared" si="1"/>
        <v>1.9851541985427013</v>
      </c>
      <c r="G54" s="35">
        <f t="shared" si="2"/>
        <v>4.5377392948456281</v>
      </c>
      <c r="H54" s="35">
        <f t="shared" si="3"/>
        <v>0.59546384862787682</v>
      </c>
      <c r="I54" s="35">
        <f t="shared" si="4"/>
        <v>2.668024989016446</v>
      </c>
      <c r="J54" s="5" t="str">
        <f>'01 - Original Data'!$E50</f>
        <v>Premium</v>
      </c>
      <c r="K54" s="5"/>
      <c r="M54" s="35">
        <f t="shared" si="5"/>
        <v>2.668024989016446</v>
      </c>
      <c r="N54">
        <f t="shared" si="6"/>
        <v>48</v>
      </c>
      <c r="P54" s="35">
        <v>2.1540746079791298</v>
      </c>
      <c r="Q54">
        <v>38</v>
      </c>
    </row>
    <row r="55" spans="1:17" x14ac:dyDescent="0.35">
      <c r="A55">
        <v>49</v>
      </c>
      <c r="B55">
        <v>2.038469658285023</v>
      </c>
      <c r="C55" s="35">
        <f>'02 - Scaled Data'!C54</f>
        <v>-1.4995306810330746</v>
      </c>
      <c r="D55" s="35">
        <f>'02 - Scaled Data'!D54</f>
        <v>1.3686515779345991</v>
      </c>
      <c r="E55" s="35">
        <f>'02 - Scaled Data'!E54</f>
        <v>0.32795679236510761</v>
      </c>
      <c r="F55" s="35">
        <f t="shared" si="1"/>
        <v>0.88229075490786757</v>
      </c>
      <c r="G55" s="35">
        <f t="shared" si="2"/>
        <v>6.2316366048600216</v>
      </c>
      <c r="H55" s="35">
        <f t="shared" si="3"/>
        <v>0.20262311515809697</v>
      </c>
      <c r="I55" s="35">
        <f t="shared" si="4"/>
        <v>2.7049122859948684</v>
      </c>
      <c r="J55" s="5" t="str">
        <f>'01 - Original Data'!$E51</f>
        <v>Standard</v>
      </c>
      <c r="K55" s="5"/>
      <c r="M55" s="35">
        <f t="shared" si="5"/>
        <v>2.7049122859948684</v>
      </c>
      <c r="N55">
        <f t="shared" si="6"/>
        <v>49</v>
      </c>
      <c r="P55" s="35">
        <v>2.1593335341631166</v>
      </c>
      <c r="Q55">
        <v>50</v>
      </c>
    </row>
    <row r="56" spans="1:17" x14ac:dyDescent="0.35">
      <c r="A56">
        <v>50</v>
      </c>
      <c r="B56">
        <v>0.60622553341016538</v>
      </c>
      <c r="C56" s="35">
        <f>'02 - Scaled Data'!C55</f>
        <v>-9.057567872011868E-2</v>
      </c>
      <c r="D56" s="35">
        <f>'02 - Scaled Data'!D55</f>
        <v>-0.22899617840929071</v>
      </c>
      <c r="E56" s="35">
        <f>'02 - Scaled Data'!E55</f>
        <v>0.68163568609218439</v>
      </c>
      <c r="F56" s="35">
        <f t="shared" si="1"/>
        <v>1.9851541985427019</v>
      </c>
      <c r="G56" s="35">
        <f t="shared" si="2"/>
        <v>2.552478353350665</v>
      </c>
      <c r="H56" s="35">
        <f t="shared" si="3"/>
        <v>0.12508875986800888</v>
      </c>
      <c r="I56" s="35">
        <f t="shared" si="4"/>
        <v>2.1593335341631166</v>
      </c>
      <c r="J56" s="5" t="str">
        <f>'01 - Original Data'!$E52</f>
        <v>Premium</v>
      </c>
      <c r="K56" s="5"/>
      <c r="M56" s="35">
        <f t="shared" si="5"/>
        <v>2.1593335341631166</v>
      </c>
      <c r="N56">
        <f t="shared" si="6"/>
        <v>50</v>
      </c>
      <c r="P56" s="35">
        <v>2.1963775458138239</v>
      </c>
      <c r="Q56">
        <v>28</v>
      </c>
    </row>
    <row r="57" spans="1:17" x14ac:dyDescent="0.35">
      <c r="A57">
        <v>51</v>
      </c>
      <c r="B57">
        <v>1.539982380786233</v>
      </c>
      <c r="C57" s="35">
        <f>'02 - Scaled Data'!C56</f>
        <v>-0.82859972755071465</v>
      </c>
      <c r="D57" s="35">
        <f>'02 - Scaled Data'!D56</f>
        <v>0.9359553105914622</v>
      </c>
      <c r="E57" s="35">
        <f>'02 - Scaled Data'!E56</f>
        <v>1.0031619531167997</v>
      </c>
      <c r="F57" s="35">
        <f t="shared" si="1"/>
        <v>0.54467949665230597</v>
      </c>
      <c r="G57" s="35">
        <f t="shared" si="2"/>
        <v>1.3571119717250713</v>
      </c>
      <c r="H57" s="35">
        <f t="shared" si="3"/>
        <v>0.10337914038678421</v>
      </c>
      <c r="I57" s="35">
        <f t="shared" si="4"/>
        <v>1.4160404686180976</v>
      </c>
      <c r="J57" s="5" t="str">
        <f>'01 - Original Data'!$E53</f>
        <v>Premium</v>
      </c>
      <c r="K57" s="5"/>
      <c r="M57" s="35">
        <f t="shared" si="5"/>
        <v>1.4160404686180976</v>
      </c>
      <c r="N57">
        <f t="shared" si="6"/>
        <v>51</v>
      </c>
      <c r="P57" s="35">
        <v>2.3017160594656669</v>
      </c>
      <c r="Q57">
        <v>11</v>
      </c>
    </row>
    <row r="58" spans="1:17" x14ac:dyDescent="0.35">
      <c r="A58">
        <v>52</v>
      </c>
      <c r="B58">
        <v>2.4586650210866261</v>
      </c>
      <c r="C58" s="35">
        <f>'02 - Scaled Data'!C57</f>
        <v>1.5867517049857811</v>
      </c>
      <c r="D58" s="35">
        <f>'02 - Scaled Data'!D57</f>
        <v>7.0562775905188613E-2</v>
      </c>
      <c r="E58" s="35">
        <f>'02 - Scaled Data'!E57</f>
        <v>1.4211461002487995</v>
      </c>
      <c r="F58" s="35">
        <f t="shared" si="1"/>
        <v>5.8339225426561026</v>
      </c>
      <c r="G58" s="35">
        <f t="shared" si="2"/>
        <v>0.74890423909073334</v>
      </c>
      <c r="H58" s="35">
        <f t="shared" si="3"/>
        <v>0.17471074725366528</v>
      </c>
      <c r="I58" s="35">
        <f t="shared" si="4"/>
        <v>2.5995264047515465</v>
      </c>
      <c r="J58" s="5" t="str">
        <f>'01 - Original Data'!$E54</f>
        <v>Premium</v>
      </c>
      <c r="K58" s="5"/>
      <c r="M58" s="35">
        <f t="shared" si="5"/>
        <v>2.5995264047515465</v>
      </c>
      <c r="N58">
        <f t="shared" si="6"/>
        <v>52</v>
      </c>
      <c r="P58" s="35">
        <v>2.3256442602861931</v>
      </c>
      <c r="Q58">
        <v>88</v>
      </c>
    </row>
    <row r="59" spans="1:17" x14ac:dyDescent="0.35">
      <c r="A59">
        <v>53</v>
      </c>
      <c r="B59">
        <v>2.1393448761392149</v>
      </c>
      <c r="C59" s="35">
        <f>'02 - Scaled Data'!C58</f>
        <v>-1.1640652042918946</v>
      </c>
      <c r="D59" s="35">
        <f>'02 - Scaled Data'!D58</f>
        <v>0.46997471499116106</v>
      </c>
      <c r="E59" s="35">
        <f>'02 - Scaled Data'!E58</f>
        <v>-1.4725903029727376</v>
      </c>
      <c r="F59" s="35">
        <f t="shared" si="1"/>
        <v>7.5669936683679841</v>
      </c>
      <c r="G59" s="35">
        <f t="shared" si="2"/>
        <v>0.15952989708441656</v>
      </c>
      <c r="H59" s="35">
        <f t="shared" si="3"/>
        <v>8.3737103713295191</v>
      </c>
      <c r="I59" s="35">
        <f t="shared" si="4"/>
        <v>4.0125096805842002</v>
      </c>
      <c r="J59" s="5" t="str">
        <f>'01 - Original Data'!$E55</f>
        <v>Low Value</v>
      </c>
      <c r="K59" s="5"/>
      <c r="M59" s="35">
        <f t="shared" si="5"/>
        <v>4.0125096805842002</v>
      </c>
      <c r="N59">
        <f t="shared" si="6"/>
        <v>53</v>
      </c>
      <c r="P59" s="35">
        <v>2.3439480561576063</v>
      </c>
      <c r="Q59">
        <v>94</v>
      </c>
    </row>
    <row r="60" spans="1:17" x14ac:dyDescent="0.35">
      <c r="A60">
        <v>54</v>
      </c>
      <c r="B60">
        <v>2.4475113341896719</v>
      </c>
      <c r="C60" s="35">
        <f>'02 - Scaled Data'!C59</f>
        <v>-2.3482583371882693E-2</v>
      </c>
      <c r="D60" s="35">
        <f>'02 - Scaled Data'!D59</f>
        <v>1.5683575474775853</v>
      </c>
      <c r="E60" s="35">
        <f>'02 - Scaled Data'!E59</f>
        <v>-0.92599564903089182</v>
      </c>
      <c r="F60" s="35">
        <f t="shared" si="1"/>
        <v>1.3009287151447639</v>
      </c>
      <c r="G60" s="35">
        <f t="shared" si="2"/>
        <v>1.2064448467009001</v>
      </c>
      <c r="H60" s="35">
        <f t="shared" si="3"/>
        <v>0.29876571571780619</v>
      </c>
      <c r="I60" s="35">
        <f t="shared" si="4"/>
        <v>1.6751535086562874</v>
      </c>
      <c r="J60" s="5" t="str">
        <f>'01 - Original Data'!$E56</f>
        <v>Low Value</v>
      </c>
      <c r="K60" s="5"/>
      <c r="M60" s="35">
        <f t="shared" si="5"/>
        <v>1.6751535086562874</v>
      </c>
      <c r="N60">
        <f t="shared" si="6"/>
        <v>54</v>
      </c>
      <c r="P60" s="35">
        <v>2.3583042037904041</v>
      </c>
      <c r="Q60">
        <v>77</v>
      </c>
    </row>
    <row r="61" spans="1:17" x14ac:dyDescent="0.35">
      <c r="A61">
        <v>55</v>
      </c>
      <c r="B61">
        <v>1.2047977569683621</v>
      </c>
      <c r="C61" s="35">
        <f>'02 - Scaled Data'!C60</f>
        <v>-1.6337168717295465</v>
      </c>
      <c r="D61" s="35">
        <f>'02 - Scaled Data'!D60</f>
        <v>0.10384710416235299</v>
      </c>
      <c r="E61" s="35">
        <f>'02 - Scaled Data'!E60</f>
        <v>0.32795679236510761</v>
      </c>
      <c r="F61" s="35">
        <f t="shared" si="1"/>
        <v>2.5928544634027118</v>
      </c>
      <c r="G61" s="35">
        <f t="shared" si="2"/>
        <v>2.1447908385793784</v>
      </c>
      <c r="H61" s="35">
        <f t="shared" si="3"/>
        <v>1.5723967252829876</v>
      </c>
      <c r="I61" s="35">
        <f t="shared" si="4"/>
        <v>2.5119797027971935</v>
      </c>
      <c r="J61" s="5" t="str">
        <f>'01 - Original Data'!$E57</f>
        <v>Standard</v>
      </c>
      <c r="K61" s="5"/>
      <c r="M61" s="35">
        <f t="shared" si="5"/>
        <v>2.5119797027971935</v>
      </c>
      <c r="N61">
        <f t="shared" si="6"/>
        <v>55</v>
      </c>
      <c r="P61" s="35">
        <v>2.4679665669032875</v>
      </c>
      <c r="Q61">
        <v>42</v>
      </c>
    </row>
    <row r="62" spans="1:17" x14ac:dyDescent="0.35">
      <c r="A62">
        <v>56</v>
      </c>
      <c r="B62">
        <v>2.1559682747033162</v>
      </c>
      <c r="C62" s="35">
        <f>'02 - Scaled Data'!C61</f>
        <v>-0.42604115546129867</v>
      </c>
      <c r="D62" s="35">
        <f>'02 - Scaled Data'!D61</f>
        <v>1.5683575474775853</v>
      </c>
      <c r="E62" s="35">
        <f>'02 - Scaled Data'!E61</f>
        <v>-0.4115536217915074</v>
      </c>
      <c r="F62" s="35">
        <f t="shared" si="1"/>
        <v>1.4584806356640256</v>
      </c>
      <c r="G62" s="35">
        <f t="shared" si="2"/>
        <v>2.1447908385793784</v>
      </c>
      <c r="H62" s="35">
        <f t="shared" si="3"/>
        <v>0.54687565264608828</v>
      </c>
      <c r="I62" s="35">
        <f t="shared" si="4"/>
        <v>2.0371909893010751</v>
      </c>
      <c r="J62" s="5" t="str">
        <f>'01 - Original Data'!$E58</f>
        <v>Standard</v>
      </c>
      <c r="K62" s="5"/>
      <c r="M62" s="35">
        <f t="shared" si="5"/>
        <v>2.0371909893010751</v>
      </c>
      <c r="N62">
        <f t="shared" si="6"/>
        <v>56</v>
      </c>
      <c r="P62" s="35">
        <v>2.4863792591477156</v>
      </c>
      <c r="Q62">
        <v>12</v>
      </c>
    </row>
    <row r="63" spans="1:17" x14ac:dyDescent="0.35">
      <c r="A63">
        <v>57</v>
      </c>
      <c r="B63">
        <v>1.831924118988369</v>
      </c>
      <c r="C63" s="35">
        <f>'02 - Scaled Data'!C62</f>
        <v>0.1107036073245893</v>
      </c>
      <c r="D63" s="35">
        <f>'02 - Scaled Data'!D62</f>
        <v>-1.4938006521815368</v>
      </c>
      <c r="E63" s="35">
        <f>'02 - Scaled Data'!E62</f>
        <v>-0.95814827573335326</v>
      </c>
      <c r="F63" s="35">
        <f t="shared" si="1"/>
        <v>0.2880949403780792</v>
      </c>
      <c r="G63" s="35">
        <f t="shared" si="2"/>
        <v>9.3768128397395962</v>
      </c>
      <c r="H63" s="35">
        <f t="shared" si="3"/>
        <v>0.29876571571780619</v>
      </c>
      <c r="I63" s="35">
        <f t="shared" si="4"/>
        <v>3.1565287098069423</v>
      </c>
      <c r="J63" s="5" t="str">
        <f>'01 - Original Data'!$E59</f>
        <v>Low Value</v>
      </c>
      <c r="K63" s="5"/>
      <c r="M63" s="35">
        <f t="shared" si="5"/>
        <v>3.1565287098069423</v>
      </c>
      <c r="N63">
        <f t="shared" si="6"/>
        <v>57</v>
      </c>
      <c r="P63" s="35">
        <v>2.5026762286702233</v>
      </c>
      <c r="Q63">
        <v>37</v>
      </c>
    </row>
    <row r="64" spans="1:17" x14ac:dyDescent="0.35">
      <c r="A64">
        <v>58</v>
      </c>
      <c r="B64">
        <v>2.9203146867099909</v>
      </c>
      <c r="C64" s="35">
        <f>'02 - Scaled Data'!C63</f>
        <v>1.3854724189410732</v>
      </c>
      <c r="D64" s="35">
        <f>'02 - Scaled Data'!D63</f>
        <v>1.5017888909632566</v>
      </c>
      <c r="E64" s="35">
        <f>'02 - Scaled Data'!E63</f>
        <v>1.324688220141415</v>
      </c>
      <c r="F64" s="35">
        <f t="shared" si="1"/>
        <v>1.6250355230701026</v>
      </c>
      <c r="G64" s="35">
        <f t="shared" si="2"/>
        <v>8.973556710998432</v>
      </c>
      <c r="H64" s="35">
        <f t="shared" si="3"/>
        <v>5.2113424668977917</v>
      </c>
      <c r="I64" s="35">
        <f t="shared" si="4"/>
        <v>3.9761708591264444</v>
      </c>
      <c r="J64" s="5" t="str">
        <f>'01 - Original Data'!$E60</f>
        <v>Premium</v>
      </c>
      <c r="K64" s="5"/>
      <c r="M64" s="35">
        <f t="shared" si="5"/>
        <v>3.9761708591264444</v>
      </c>
      <c r="N64">
        <f t="shared" si="6"/>
        <v>58</v>
      </c>
      <c r="P64" s="35">
        <v>2.5119797027971935</v>
      </c>
      <c r="Q64">
        <v>55</v>
      </c>
    </row>
    <row r="65" spans="1:17" x14ac:dyDescent="0.35">
      <c r="A65">
        <v>59</v>
      </c>
      <c r="B65">
        <v>0.8890815458472725</v>
      </c>
      <c r="C65" s="35">
        <f>'02 - Scaled Data'!C64</f>
        <v>-1.2982513949883665</v>
      </c>
      <c r="D65" s="35">
        <f>'02 - Scaled Data'!D64</f>
        <v>-0.86139841529541372</v>
      </c>
      <c r="E65" s="35">
        <f>'02 - Scaled Data'!E64</f>
        <v>0.58517780598479985</v>
      </c>
      <c r="F65" s="35">
        <f t="shared" si="1"/>
        <v>7.202373509451979</v>
      </c>
      <c r="G65" s="35">
        <f t="shared" si="2"/>
        <v>5.5846542444621106</v>
      </c>
      <c r="H65" s="35">
        <f t="shared" si="3"/>
        <v>0.54687565264608839</v>
      </c>
      <c r="I65" s="35">
        <f t="shared" si="4"/>
        <v>3.6515617763581898</v>
      </c>
      <c r="J65" s="5" t="str">
        <f>'01 - Original Data'!$E61</f>
        <v>Premium</v>
      </c>
      <c r="K65" s="5"/>
      <c r="M65" s="35">
        <f t="shared" si="5"/>
        <v>3.6515617763581898</v>
      </c>
      <c r="N65">
        <f t="shared" si="6"/>
        <v>59</v>
      </c>
      <c r="P65" s="35">
        <v>2.5241145068528121</v>
      </c>
      <c r="Q65">
        <v>24</v>
      </c>
    </row>
    <row r="66" spans="1:17" x14ac:dyDescent="0.35">
      <c r="A66">
        <v>60</v>
      </c>
      <c r="B66">
        <v>2.3070744225924158</v>
      </c>
      <c r="C66" s="35">
        <f>'02 - Scaled Data'!C65</f>
        <v>1.1841931328963653</v>
      </c>
      <c r="D66" s="35">
        <f>'02 - Scaled Data'!D65</f>
        <v>-1.1276730413527287</v>
      </c>
      <c r="E66" s="35">
        <f>'02 - Scaled Data'!E65</f>
        <v>-0.95814827573335326</v>
      </c>
      <c r="F66" s="35">
        <f t="shared" si="1"/>
        <v>6.1625308340248477</v>
      </c>
      <c r="G66" s="35">
        <f t="shared" si="2"/>
        <v>7.0902176481962939E-2</v>
      </c>
      <c r="H66" s="35">
        <f t="shared" si="3"/>
        <v>2.3818553945115073</v>
      </c>
      <c r="I66" s="35">
        <f t="shared" si="4"/>
        <v>2.9351811536970454</v>
      </c>
      <c r="J66" s="5" t="str">
        <f>'01 - Original Data'!$E62</f>
        <v>Low Value</v>
      </c>
      <c r="K66" s="5"/>
      <c r="M66" s="35">
        <f t="shared" si="5"/>
        <v>2.9351811536970454</v>
      </c>
      <c r="N66">
        <f t="shared" si="6"/>
        <v>60</v>
      </c>
      <c r="P66" s="35">
        <v>2.5336915494977816</v>
      </c>
      <c r="Q66">
        <v>18</v>
      </c>
    </row>
    <row r="67" spans="1:17" x14ac:dyDescent="0.35">
      <c r="A67">
        <v>61</v>
      </c>
      <c r="B67">
        <v>1.4765846031641101</v>
      </c>
      <c r="C67" s="35">
        <f>'02 - Scaled Data'!C66</f>
        <v>-1.2311582996401307</v>
      </c>
      <c r="D67" s="35">
        <f>'02 - Scaled Data'!D66</f>
        <v>-0.19571185015212633</v>
      </c>
      <c r="E67" s="35">
        <f>'02 - Scaled Data'!E66</f>
        <v>-0.92599564903089182</v>
      </c>
      <c r="F67" s="35">
        <f t="shared" si="1"/>
        <v>5.8339225426561026</v>
      </c>
      <c r="G67" s="35">
        <f t="shared" si="2"/>
        <v>0.86855166190404576</v>
      </c>
      <c r="H67" s="35">
        <f t="shared" si="3"/>
        <v>1.0337914038678364E-3</v>
      </c>
      <c r="I67" s="35">
        <f t="shared" si="4"/>
        <v>2.589113360972056</v>
      </c>
      <c r="J67" s="5" t="str">
        <f>'01 - Original Data'!$E63</f>
        <v>Low Value</v>
      </c>
      <c r="K67" s="5"/>
      <c r="M67" s="35">
        <f t="shared" si="5"/>
        <v>2.589113360972056</v>
      </c>
      <c r="N67">
        <f t="shared" si="6"/>
        <v>61</v>
      </c>
      <c r="P67" s="35">
        <v>2.5872856239197346</v>
      </c>
      <c r="Q67">
        <v>30</v>
      </c>
    </row>
    <row r="68" spans="1:17" x14ac:dyDescent="0.35">
      <c r="A68">
        <v>62</v>
      </c>
      <c r="B68">
        <v>2.2873887264843948</v>
      </c>
      <c r="C68" s="35">
        <f>'02 - Scaled Data'!C67</f>
        <v>1.3854724189410732</v>
      </c>
      <c r="D68" s="35">
        <f>'02 - Scaled Data'!D67</f>
        <v>-0.66169244575242747</v>
      </c>
      <c r="E68" s="35">
        <f>'02 - Scaled Data'!E67</f>
        <v>1.517603980356184</v>
      </c>
      <c r="F68" s="35">
        <f t="shared" si="1"/>
        <v>6.8467563174227886</v>
      </c>
      <c r="G68" s="35">
        <f t="shared" si="2"/>
        <v>0.21713791547601138</v>
      </c>
      <c r="H68" s="35">
        <f t="shared" si="3"/>
        <v>5.9711791487406538</v>
      </c>
      <c r="I68" s="35">
        <f t="shared" si="4"/>
        <v>3.6104118022241525</v>
      </c>
      <c r="J68" s="5" t="str">
        <f>'01 - Original Data'!$E64</f>
        <v>Premium</v>
      </c>
      <c r="K68" s="5"/>
      <c r="M68" s="35">
        <f t="shared" si="5"/>
        <v>3.6104118022241525</v>
      </c>
      <c r="N68">
        <f t="shared" si="6"/>
        <v>62</v>
      </c>
      <c r="P68" s="35">
        <v>2.589113360972056</v>
      </c>
      <c r="Q68">
        <v>61</v>
      </c>
    </row>
    <row r="69" spans="1:17" x14ac:dyDescent="0.35">
      <c r="A69">
        <v>63</v>
      </c>
      <c r="B69">
        <v>1.200175692110157</v>
      </c>
      <c r="C69" s="35">
        <f>'02 - Scaled Data'!C68</f>
        <v>0.58035527476224125</v>
      </c>
      <c r="D69" s="35">
        <f>'02 - Scaled Data'!D68</f>
        <v>-0.42870214795227696</v>
      </c>
      <c r="E69" s="35">
        <f>'02 - Scaled Data'!E68</f>
        <v>0.71378831279464594</v>
      </c>
      <c r="F69" s="35">
        <f t="shared" si="1"/>
        <v>0.64821361585067805</v>
      </c>
      <c r="G69" s="35">
        <f t="shared" si="2"/>
        <v>5.4284478869002818E-2</v>
      </c>
      <c r="H69" s="35">
        <f t="shared" si="3"/>
        <v>0.64611962741740114</v>
      </c>
      <c r="I69" s="35">
        <f t="shared" si="4"/>
        <v>1.1613000138366838</v>
      </c>
      <c r="J69" s="5" t="str">
        <f>'01 - Original Data'!$E65</f>
        <v>Premium</v>
      </c>
      <c r="K69" s="5"/>
      <c r="M69" s="35">
        <f t="shared" si="5"/>
        <v>1.1613000138366838</v>
      </c>
      <c r="N69">
        <f t="shared" si="6"/>
        <v>63</v>
      </c>
      <c r="P69" s="35">
        <v>2.5927504045696721</v>
      </c>
      <c r="Q69">
        <v>40</v>
      </c>
    </row>
    <row r="70" spans="1:17" x14ac:dyDescent="0.35">
      <c r="A70">
        <v>64</v>
      </c>
      <c r="B70">
        <v>0.85530854933848355</v>
      </c>
      <c r="C70" s="35">
        <f>'02 - Scaled Data'!C69</f>
        <v>-0.82859972755071465</v>
      </c>
      <c r="D70" s="35">
        <f>'02 - Scaled Data'!D69</f>
        <v>-1.1942416978670574</v>
      </c>
      <c r="E70" s="35">
        <f>'02 - Scaled Data'!E69</f>
        <v>0.10288840544787696</v>
      </c>
      <c r="F70" s="35">
        <f t="shared" si="1"/>
        <v>1.9851541985427013</v>
      </c>
      <c r="G70" s="35">
        <f t="shared" si="2"/>
        <v>0.58605080248372443</v>
      </c>
      <c r="H70" s="35">
        <f t="shared" si="3"/>
        <v>0.37319869679629097</v>
      </c>
      <c r="I70" s="35">
        <f t="shared" si="4"/>
        <v>1.7159264838048034</v>
      </c>
      <c r="J70" s="5" t="str">
        <f>'01 - Original Data'!$E66</f>
        <v>Standard</v>
      </c>
      <c r="K70" s="5"/>
      <c r="M70" s="35">
        <f t="shared" si="5"/>
        <v>1.7159264838048034</v>
      </c>
      <c r="N70">
        <f t="shared" si="6"/>
        <v>64</v>
      </c>
      <c r="P70" s="35">
        <v>2.5995264047515465</v>
      </c>
      <c r="Q70">
        <v>52</v>
      </c>
    </row>
    <row r="71" spans="1:17" x14ac:dyDescent="0.35">
      <c r="A71">
        <v>65</v>
      </c>
      <c r="B71">
        <v>0.88526715763515662</v>
      </c>
      <c r="C71" s="35">
        <f>'02 - Scaled Data'!C70</f>
        <v>-0.62732044150600663</v>
      </c>
      <c r="D71" s="35">
        <f>'02 - Scaled Data'!D70</f>
        <v>-0.5618394609809344</v>
      </c>
      <c r="E71" s="35">
        <f>'02 - Scaled Data'!E70</f>
        <v>-0.50801150189889199</v>
      </c>
      <c r="F71" s="35">
        <f t="shared" si="1"/>
        <v>4.0513350990667392E-2</v>
      </c>
      <c r="G71" s="35">
        <f t="shared" si="2"/>
        <v>0.399932589218572</v>
      </c>
      <c r="H71" s="35">
        <f t="shared" si="3"/>
        <v>0.37319869679629086</v>
      </c>
      <c r="I71" s="35">
        <f t="shared" si="4"/>
        <v>0.90202252577501096</v>
      </c>
      <c r="J71" s="5" t="str">
        <f>'01 - Original Data'!$E67</f>
        <v>Standard</v>
      </c>
      <c r="K71" s="5"/>
      <c r="M71" s="35">
        <f t="shared" si="5"/>
        <v>0.90202252577501096</v>
      </c>
      <c r="N71">
        <f t="shared" ref="N71:N106" si="7">A71</f>
        <v>65</v>
      </c>
      <c r="P71" s="35">
        <v>2.6238508839942027</v>
      </c>
      <c r="Q71">
        <v>45</v>
      </c>
    </row>
    <row r="72" spans="1:17" x14ac:dyDescent="0.35">
      <c r="A72">
        <v>66</v>
      </c>
      <c r="B72">
        <v>1.8060250367226149</v>
      </c>
      <c r="C72" s="35">
        <f>'02 - Scaled Data'!C71</f>
        <v>0.64744837011047729</v>
      </c>
      <c r="D72" s="35">
        <f>'02 - Scaled Data'!D71</f>
        <v>0.73624934104847606</v>
      </c>
      <c r="E72" s="35">
        <f>'02 - Scaled Data'!E71</f>
        <v>-0.2829431149816613</v>
      </c>
      <c r="F72" s="35">
        <f t="shared" ref="F72:F106" si="8">POWER(C72-C71,2)</f>
        <v>1.6250355230701026</v>
      </c>
      <c r="G72" s="35">
        <f t="shared" ref="G72:G106" si="9">POWER(D72-D71,2)</f>
        <v>1.6850345379541496</v>
      </c>
      <c r="H72" s="35">
        <f t="shared" ref="H72:H106" si="10">POWER(E72-E71,2)</f>
        <v>5.0655778789524257E-2</v>
      </c>
      <c r="I72" s="35">
        <f t="shared" ref="I72:I106" si="11">SQRT(SUM(F72:H72))</f>
        <v>1.8332282563319213</v>
      </c>
      <c r="J72" s="5" t="str">
        <f>'01 - Original Data'!$E68</f>
        <v>Standard</v>
      </c>
      <c r="K72" s="5"/>
      <c r="M72" s="35">
        <f t="shared" ref="M72:M106" si="12">I72</f>
        <v>1.8332282563319213</v>
      </c>
      <c r="N72">
        <f t="shared" si="7"/>
        <v>66</v>
      </c>
      <c r="P72" s="35">
        <v>2.6500468786560485</v>
      </c>
      <c r="Q72">
        <v>32</v>
      </c>
    </row>
    <row r="73" spans="1:17" x14ac:dyDescent="0.35">
      <c r="A73">
        <v>67</v>
      </c>
      <c r="B73">
        <v>2.3892587620344292</v>
      </c>
      <c r="C73" s="35">
        <f>'02 - Scaled Data'!C72</f>
        <v>1.5867517049857811</v>
      </c>
      <c r="D73" s="35">
        <f>'02 - Scaled Data'!D72</f>
        <v>0.33683740196250356</v>
      </c>
      <c r="E73" s="35">
        <f>'02 - Scaled Data'!E72</f>
        <v>-0.31509574168412285</v>
      </c>
      <c r="F73" s="35">
        <f t="shared" si="8"/>
        <v>0.88229075490786713</v>
      </c>
      <c r="G73" s="35">
        <f t="shared" si="9"/>
        <v>0.15952989708441662</v>
      </c>
      <c r="H73" s="35">
        <f t="shared" si="10"/>
        <v>1.0337914038678435E-3</v>
      </c>
      <c r="I73" s="35">
        <f t="shared" si="11"/>
        <v>1.0212024497601597</v>
      </c>
      <c r="J73" s="5" t="str">
        <f>'01 - Original Data'!$E69</f>
        <v>Standard</v>
      </c>
      <c r="K73" s="5"/>
      <c r="M73" s="35">
        <f t="shared" si="12"/>
        <v>1.0212024497601597</v>
      </c>
      <c r="N73">
        <f t="shared" si="7"/>
        <v>67</v>
      </c>
      <c r="P73" s="35">
        <v>2.6665122596684201</v>
      </c>
      <c r="Q73">
        <v>72</v>
      </c>
    </row>
    <row r="74" spans="1:17" x14ac:dyDescent="0.35">
      <c r="A74">
        <v>68</v>
      </c>
      <c r="B74">
        <v>2.3460022507476559</v>
      </c>
      <c r="C74" s="35">
        <f>'02 - Scaled Data'!C73</f>
        <v>0.91582075150342124</v>
      </c>
      <c r="D74" s="35">
        <f>'02 - Scaled Data'!D73</f>
        <v>1.2355142649059416</v>
      </c>
      <c r="E74" s="35">
        <f>'02 - Scaled Data'!E73</f>
        <v>1.0674672065217228</v>
      </c>
      <c r="F74" s="35">
        <f t="shared" si="8"/>
        <v>0.45014834434074852</v>
      </c>
      <c r="G74" s="35">
        <f t="shared" si="9"/>
        <v>0.80762010398985895</v>
      </c>
      <c r="H74" s="35">
        <f t="shared" si="10"/>
        <v>1.9114803057516399</v>
      </c>
      <c r="I74" s="35">
        <f t="shared" si="11"/>
        <v>1.780238398103537</v>
      </c>
      <c r="J74" s="5" t="str">
        <f>'01 - Original Data'!$E70</f>
        <v>Premium</v>
      </c>
      <c r="K74" s="5"/>
      <c r="M74" s="35">
        <f t="shared" si="12"/>
        <v>1.780238398103537</v>
      </c>
      <c r="N74">
        <f t="shared" si="7"/>
        <v>68</v>
      </c>
      <c r="P74" s="35">
        <v>2.668024989016446</v>
      </c>
      <c r="Q74">
        <v>48</v>
      </c>
    </row>
    <row r="75" spans="1:17" x14ac:dyDescent="0.35">
      <c r="A75">
        <v>69</v>
      </c>
      <c r="B75">
        <v>2.1442478392704389</v>
      </c>
      <c r="C75" s="35">
        <f>'02 - Scaled Data'!C74</f>
        <v>-1.4995306810330746</v>
      </c>
      <c r="D75" s="35">
        <f>'02 - Scaled Data'!D74</f>
        <v>-0.6949767740095919</v>
      </c>
      <c r="E75" s="35">
        <f>'02 - Scaled Data'!E74</f>
        <v>-1.5368955563776607</v>
      </c>
      <c r="F75" s="35">
        <f t="shared" si="8"/>
        <v>5.8339225426561026</v>
      </c>
      <c r="G75" s="35">
        <f t="shared" si="9"/>
        <v>3.7267956513331755</v>
      </c>
      <c r="H75" s="35">
        <f t="shared" si="10"/>
        <v>6.7827054007769121</v>
      </c>
      <c r="I75" s="35">
        <f t="shared" si="11"/>
        <v>4.0427000376933968</v>
      </c>
      <c r="J75" s="5" t="str">
        <f>'01 - Original Data'!$E71</f>
        <v>Low Value</v>
      </c>
      <c r="K75" s="5"/>
      <c r="M75" s="35">
        <f t="shared" si="12"/>
        <v>4.0427000376933968</v>
      </c>
      <c r="N75">
        <f t="shared" si="7"/>
        <v>69</v>
      </c>
      <c r="P75" s="35">
        <v>2.6737981416886631</v>
      </c>
      <c r="Q75">
        <v>82</v>
      </c>
    </row>
    <row r="76" spans="1:17" x14ac:dyDescent="0.35">
      <c r="A76">
        <v>70</v>
      </c>
      <c r="B76">
        <v>2.162951308421583</v>
      </c>
      <c r="C76" s="35">
        <f>'02 - Scaled Data'!C75</f>
        <v>-1.6337168717295465</v>
      </c>
      <c r="D76" s="35">
        <f>'02 - Scaled Data'!D75</f>
        <v>0.56982769976265413</v>
      </c>
      <c r="E76" s="35">
        <f>'02 - Scaled Data'!E75</f>
        <v>-1.2153692893530454</v>
      </c>
      <c r="F76" s="35">
        <f t="shared" si="8"/>
        <v>1.8005933773629912E-2</v>
      </c>
      <c r="G76" s="35">
        <f t="shared" si="9"/>
        <v>1.5997303568742884</v>
      </c>
      <c r="H76" s="35">
        <f t="shared" si="10"/>
        <v>0.10337914038678421</v>
      </c>
      <c r="I76" s="35">
        <f t="shared" si="11"/>
        <v>1.3119128900329864</v>
      </c>
      <c r="J76" s="5" t="str">
        <f>'01 - Original Data'!$E72</f>
        <v>Low Value</v>
      </c>
      <c r="K76" s="5"/>
      <c r="M76" s="35">
        <f t="shared" si="12"/>
        <v>1.3119128900329864</v>
      </c>
      <c r="N76">
        <f t="shared" si="7"/>
        <v>70</v>
      </c>
      <c r="P76" s="35">
        <v>2.7049122859948684</v>
      </c>
      <c r="Q76">
        <v>49</v>
      </c>
    </row>
    <row r="77" spans="1:17" x14ac:dyDescent="0.35">
      <c r="A77">
        <v>71</v>
      </c>
      <c r="B77">
        <v>1.3282853258053979</v>
      </c>
      <c r="C77" s="35">
        <f>'02 - Scaled Data'!C76</f>
        <v>-1.3653444903366025</v>
      </c>
      <c r="D77" s="35">
        <f>'02 - Scaled Data'!D76</f>
        <v>-0.22899617840929071</v>
      </c>
      <c r="E77" s="35">
        <f>'02 - Scaled Data'!E76</f>
        <v>1.3889934735463378</v>
      </c>
      <c r="F77" s="35">
        <f t="shared" si="8"/>
        <v>7.2023735094519772E-2</v>
      </c>
      <c r="G77" s="35">
        <f t="shared" si="9"/>
        <v>0.63811958833766602</v>
      </c>
      <c r="H77" s="35">
        <f t="shared" si="10"/>
        <v>6.7827054007769094</v>
      </c>
      <c r="I77" s="35">
        <f t="shared" si="11"/>
        <v>2.7373068377894896</v>
      </c>
      <c r="J77" s="5" t="str">
        <f>'01 - Original Data'!$E73</f>
        <v>Premium</v>
      </c>
      <c r="K77" s="5"/>
      <c r="M77" s="35">
        <f t="shared" si="12"/>
        <v>2.7373068377894896</v>
      </c>
      <c r="N77">
        <f t="shared" si="7"/>
        <v>71</v>
      </c>
      <c r="P77" s="35">
        <v>2.7373068377894896</v>
      </c>
      <c r="Q77">
        <v>71</v>
      </c>
    </row>
    <row r="78" spans="1:17" x14ac:dyDescent="0.35">
      <c r="A78">
        <v>72</v>
      </c>
      <c r="B78">
        <v>1.6489648277568869</v>
      </c>
      <c r="C78" s="35">
        <f>'02 - Scaled Data'!C77</f>
        <v>1.0500069421998932</v>
      </c>
      <c r="D78" s="35">
        <f>'02 - Scaled Data'!D77</f>
        <v>-0.12914319363779761</v>
      </c>
      <c r="E78" s="35">
        <f>'02 - Scaled Data'!E77</f>
        <v>0.26365153896018456</v>
      </c>
      <c r="F78" s="35">
        <f t="shared" si="8"/>
        <v>5.8339225426561026</v>
      </c>
      <c r="G78" s="35">
        <f t="shared" si="9"/>
        <v>9.9706185677760316E-3</v>
      </c>
      <c r="H78" s="35">
        <f t="shared" si="10"/>
        <v>1.266394469738106</v>
      </c>
      <c r="I78" s="35">
        <f t="shared" si="11"/>
        <v>2.6665122596684201</v>
      </c>
      <c r="J78" s="5" t="str">
        <f>'01 - Original Data'!$E74</f>
        <v>Standard</v>
      </c>
      <c r="K78" s="5"/>
      <c r="M78" s="35">
        <f t="shared" si="12"/>
        <v>2.6665122596684201</v>
      </c>
      <c r="N78">
        <f t="shared" si="7"/>
        <v>72</v>
      </c>
      <c r="P78" s="35">
        <v>2.7792439883209972</v>
      </c>
      <c r="Q78">
        <v>79</v>
      </c>
    </row>
    <row r="79" spans="1:17" x14ac:dyDescent="0.35">
      <c r="A79">
        <v>73</v>
      </c>
      <c r="B79">
        <v>1.589299307093136</v>
      </c>
      <c r="C79" s="35">
        <f>'02 - Scaled Data'!C78</f>
        <v>-1.4995306810330746</v>
      </c>
      <c r="D79" s="35">
        <f>'02 - Scaled Data'!D78</f>
        <v>0.43669038673399668</v>
      </c>
      <c r="E79" s="35">
        <f>'02 - Scaled Data'!E78</f>
        <v>1.2925355934389533</v>
      </c>
      <c r="F79" s="35">
        <f t="shared" si="8"/>
        <v>6.5001420922804103</v>
      </c>
      <c r="G79" s="35">
        <f t="shared" si="9"/>
        <v>0.32016764067636383</v>
      </c>
      <c r="H79" s="35">
        <f t="shared" si="10"/>
        <v>1.05860239756067</v>
      </c>
      <c r="I79" s="35">
        <f t="shared" si="11"/>
        <v>2.8069399941070072</v>
      </c>
      <c r="J79" s="5" t="str">
        <f>'01 - Original Data'!$E75</f>
        <v>Premium</v>
      </c>
      <c r="K79" s="5"/>
      <c r="M79" s="35">
        <f t="shared" si="12"/>
        <v>2.8069399941070072</v>
      </c>
      <c r="N79">
        <f t="shared" si="7"/>
        <v>73</v>
      </c>
      <c r="P79" s="35">
        <v>2.8069399941070072</v>
      </c>
      <c r="Q79">
        <v>73</v>
      </c>
    </row>
    <row r="80" spans="1:17" x14ac:dyDescent="0.35">
      <c r="A80">
        <v>74</v>
      </c>
      <c r="B80">
        <v>1.071494258651603</v>
      </c>
      <c r="C80" s="35">
        <f>'02 - Scaled Data'!C79</f>
        <v>0.1777967026728253</v>
      </c>
      <c r="D80" s="35">
        <f>'02 - Scaled Data'!D79</f>
        <v>0.27026874544817481</v>
      </c>
      <c r="E80" s="35">
        <f>'02 - Scaled Data'!E79</f>
        <v>3.8583152042953921E-2</v>
      </c>
      <c r="F80" s="35">
        <f t="shared" si="8"/>
        <v>2.8134271521296794</v>
      </c>
      <c r="G80" s="35">
        <f t="shared" si="9"/>
        <v>2.7696162688266773E-2</v>
      </c>
      <c r="H80" s="35">
        <f t="shared" si="10"/>
        <v>1.5723967252829876</v>
      </c>
      <c r="I80" s="35">
        <f t="shared" si="11"/>
        <v>2.1008379376098798</v>
      </c>
      <c r="J80" s="5" t="str">
        <f>'01 - Original Data'!$E76</f>
        <v>Standard</v>
      </c>
      <c r="K80" s="5"/>
      <c r="M80" s="35">
        <f t="shared" si="12"/>
        <v>2.1008379376098798</v>
      </c>
      <c r="N80">
        <f t="shared" si="7"/>
        <v>74</v>
      </c>
      <c r="P80" s="35">
        <v>2.8424857383040436</v>
      </c>
      <c r="Q80">
        <v>13</v>
      </c>
    </row>
    <row r="81" spans="1:17" x14ac:dyDescent="0.35">
      <c r="A81">
        <v>75</v>
      </c>
      <c r="B81">
        <v>1.5609898079351621</v>
      </c>
      <c r="C81" s="35">
        <f>'02 - Scaled Data'!C80</f>
        <v>-0.56022734615777059</v>
      </c>
      <c r="D81" s="35">
        <f>'02 - Scaled Data'!D80</f>
        <v>-1.4272319956672079</v>
      </c>
      <c r="E81" s="35">
        <f>'02 - Scaled Data'!E80</f>
        <v>-0.82953776892350717</v>
      </c>
      <c r="F81" s="35">
        <f t="shared" si="8"/>
        <v>0.54467949665230586</v>
      </c>
      <c r="G81" s="35">
        <f t="shared" si="9"/>
        <v>2.8815087660872734</v>
      </c>
      <c r="H81" s="35">
        <f t="shared" si="10"/>
        <v>0.75363393341965657</v>
      </c>
      <c r="I81" s="35">
        <f t="shared" si="11"/>
        <v>2.0444613462130401</v>
      </c>
      <c r="J81" s="5" t="str">
        <f>'01 - Original Data'!$E77</f>
        <v>Low Value</v>
      </c>
      <c r="K81" s="5"/>
      <c r="M81" s="35">
        <f t="shared" si="12"/>
        <v>2.0444613462130401</v>
      </c>
      <c r="N81">
        <f t="shared" si="7"/>
        <v>75</v>
      </c>
      <c r="P81" s="35">
        <v>2.849415299908344</v>
      </c>
      <c r="Q81">
        <v>21</v>
      </c>
    </row>
    <row r="82" spans="1:17" x14ac:dyDescent="0.35">
      <c r="A82">
        <v>76</v>
      </c>
      <c r="B82">
        <v>1.113922765177507</v>
      </c>
      <c r="C82" s="35">
        <f>'02 - Scaled Data'!C81</f>
        <v>-2.3482583371882693E-2</v>
      </c>
      <c r="D82" s="35">
        <f>'02 - Scaled Data'!D81</f>
        <v>-0.6949767740095919</v>
      </c>
      <c r="E82" s="35">
        <f>'02 - Scaled Data'!E81</f>
        <v>-0.57231675530381498</v>
      </c>
      <c r="F82" s="35">
        <f t="shared" si="8"/>
        <v>0.28809494037807909</v>
      </c>
      <c r="G82" s="35">
        <f t="shared" si="9"/>
        <v>0.53619770964484437</v>
      </c>
      <c r="H82" s="35">
        <f t="shared" si="10"/>
        <v>6.6162649847541874E-2</v>
      </c>
      <c r="I82" s="35">
        <f t="shared" si="11"/>
        <v>0.94363939080056702</v>
      </c>
      <c r="J82" s="5" t="str">
        <f>'01 - Original Data'!$E78</f>
        <v>Low Value</v>
      </c>
      <c r="K82" s="5"/>
      <c r="M82" s="35">
        <f t="shared" si="12"/>
        <v>0.94363939080056702</v>
      </c>
      <c r="N82">
        <f t="shared" si="7"/>
        <v>76</v>
      </c>
      <c r="P82" s="35">
        <v>2.8965083067462363</v>
      </c>
      <c r="Q82">
        <v>84</v>
      </c>
    </row>
    <row r="83" spans="1:17" x14ac:dyDescent="0.35">
      <c r="A83">
        <v>77</v>
      </c>
      <c r="B83">
        <v>2.086262872900992</v>
      </c>
      <c r="C83" s="35">
        <f>'02 - Scaled Data'!C82</f>
        <v>1.1841931328963653</v>
      </c>
      <c r="D83" s="35">
        <f>'02 - Scaled Data'!D82</f>
        <v>-0.6949767740095919</v>
      </c>
      <c r="E83" s="35">
        <f>'02 - Scaled Data'!E82</f>
        <v>1.4532987269512609</v>
      </c>
      <c r="F83" s="35">
        <f t="shared" si="8"/>
        <v>1.4584806356640256</v>
      </c>
      <c r="G83" s="35">
        <f t="shared" si="9"/>
        <v>0</v>
      </c>
      <c r="H83" s="35">
        <f t="shared" si="10"/>
        <v>4.1031180819514645</v>
      </c>
      <c r="I83" s="35">
        <f t="shared" si="11"/>
        <v>2.3583042037904041</v>
      </c>
      <c r="J83" s="5" t="str">
        <f>'01 - Original Data'!$E79</f>
        <v>Premium</v>
      </c>
      <c r="K83" s="5"/>
      <c r="M83" s="35">
        <f t="shared" si="12"/>
        <v>2.3583042037904041</v>
      </c>
      <c r="N83">
        <f t="shared" si="7"/>
        <v>77</v>
      </c>
      <c r="P83" s="35">
        <v>2.9351811536970454</v>
      </c>
      <c r="Q83">
        <v>60</v>
      </c>
    </row>
    <row r="84" spans="1:17" x14ac:dyDescent="0.35">
      <c r="A84">
        <v>78</v>
      </c>
      <c r="B84">
        <v>1.2545796321402931</v>
      </c>
      <c r="C84" s="35">
        <f>'02 - Scaled Data'!C83</f>
        <v>0.5132621794140052</v>
      </c>
      <c r="D84" s="35">
        <f>'02 - Scaled Data'!D83</f>
        <v>-0.16242752189496198</v>
      </c>
      <c r="E84" s="35">
        <f>'02 - Scaled Data'!E83</f>
        <v>-0.21863786157673826</v>
      </c>
      <c r="F84" s="35">
        <f t="shared" si="8"/>
        <v>0.45014834434074885</v>
      </c>
      <c r="G84" s="35">
        <f t="shared" si="9"/>
        <v>0.28360870592785165</v>
      </c>
      <c r="H84" s="35">
        <f t="shared" si="10"/>
        <v>2.7953719560586445</v>
      </c>
      <c r="I84" s="35">
        <f t="shared" si="11"/>
        <v>1.8785976169279159</v>
      </c>
      <c r="J84" s="5" t="str">
        <f>'01 - Original Data'!$E80</f>
        <v>Standard</v>
      </c>
      <c r="K84" s="5"/>
      <c r="M84" s="35">
        <f t="shared" si="12"/>
        <v>1.8785976169279159</v>
      </c>
      <c r="N84">
        <f t="shared" si="7"/>
        <v>78</v>
      </c>
      <c r="P84" s="35">
        <v>2.9845186694040247</v>
      </c>
      <c r="Q84">
        <v>9</v>
      </c>
    </row>
    <row r="85" spans="1:17" x14ac:dyDescent="0.35">
      <c r="A85">
        <v>79</v>
      </c>
      <c r="B85">
        <v>2.1112900022851488</v>
      </c>
      <c r="C85" s="35">
        <f>'02 - Scaled Data'!C84</f>
        <v>-1.0969721089436586</v>
      </c>
      <c r="D85" s="35">
        <f>'02 - Scaled Data'!D84</f>
        <v>1.1689456083916128</v>
      </c>
      <c r="E85" s="35">
        <f>'02 - Scaled Data'!E84</f>
        <v>1.6140618604635686</v>
      </c>
      <c r="F85" s="35">
        <f t="shared" si="8"/>
        <v>2.5928544634027118</v>
      </c>
      <c r="G85" s="35">
        <f t="shared" si="9"/>
        <v>1.7725544120490728</v>
      </c>
      <c r="H85" s="35">
        <f t="shared" si="10"/>
        <v>3.3587882711666182</v>
      </c>
      <c r="I85" s="35">
        <f t="shared" si="11"/>
        <v>2.7792439883209972</v>
      </c>
      <c r="J85" s="5" t="str">
        <f>'01 - Original Data'!$E81</f>
        <v>Premium</v>
      </c>
      <c r="K85" s="5"/>
      <c r="M85" s="35">
        <f t="shared" si="12"/>
        <v>2.7792439883209972</v>
      </c>
      <c r="N85">
        <f t="shared" si="7"/>
        <v>79</v>
      </c>
      <c r="P85" s="35">
        <v>3.0406893226091833</v>
      </c>
      <c r="Q85">
        <v>96</v>
      </c>
    </row>
    <row r="86" spans="1:17" x14ac:dyDescent="0.35">
      <c r="A86">
        <v>80</v>
      </c>
      <c r="B86">
        <v>2.1087320052820622</v>
      </c>
      <c r="C86" s="35">
        <f>'02 - Scaled Data'!C85</f>
        <v>0.64744837011047729</v>
      </c>
      <c r="D86" s="35">
        <f>'02 - Scaled Data'!D85</f>
        <v>-0.62840811749526315</v>
      </c>
      <c r="E86" s="35">
        <f>'02 - Scaled Data'!E85</f>
        <v>-1.3439797961628916</v>
      </c>
      <c r="F86" s="35">
        <f t="shared" si="8"/>
        <v>3.0430028077434605</v>
      </c>
      <c r="G86" s="35">
        <f t="shared" si="9"/>
        <v>3.2304804159594349</v>
      </c>
      <c r="H86" s="35">
        <f t="shared" si="10"/>
        <v>8.7500104423374143</v>
      </c>
      <c r="I86" s="35">
        <f t="shared" si="11"/>
        <v>3.876015178768049</v>
      </c>
      <c r="J86" s="5" t="str">
        <f>'01 - Original Data'!$E82</f>
        <v>Low Value</v>
      </c>
      <c r="K86" s="5"/>
      <c r="M86" s="35">
        <f t="shared" si="12"/>
        <v>3.876015178768049</v>
      </c>
      <c r="N86">
        <f t="shared" si="7"/>
        <v>80</v>
      </c>
      <c r="P86" s="35">
        <v>3.1139965048871443</v>
      </c>
      <c r="Q86">
        <v>43</v>
      </c>
    </row>
    <row r="87" spans="1:17" x14ac:dyDescent="0.35">
      <c r="A87">
        <v>81</v>
      </c>
      <c r="B87">
        <v>1.688448014913114</v>
      </c>
      <c r="C87" s="35">
        <f>'02 - Scaled Data'!C86</f>
        <v>-0.82859972755071465</v>
      </c>
      <c r="D87" s="35">
        <f>'02 - Scaled Data'!D86</f>
        <v>0.43669038673399668</v>
      </c>
      <c r="E87" s="35">
        <f>'02 - Scaled Data'!E86</f>
        <v>-1.0546061558407378</v>
      </c>
      <c r="F87" s="35">
        <f t="shared" si="8"/>
        <v>2.1787179866092239</v>
      </c>
      <c r="G87" s="35">
        <f t="shared" si="9"/>
        <v>1.1344348237114066</v>
      </c>
      <c r="H87" s="35">
        <f t="shared" si="10"/>
        <v>8.3737103713295263E-2</v>
      </c>
      <c r="I87" s="35">
        <f t="shared" si="11"/>
        <v>1.843065358047274</v>
      </c>
      <c r="J87" s="5" t="str">
        <f>'01 - Original Data'!$E83</f>
        <v>Low Value</v>
      </c>
      <c r="K87" s="5"/>
      <c r="M87" s="35">
        <f t="shared" si="12"/>
        <v>1.843065358047274</v>
      </c>
      <c r="N87">
        <f t="shared" si="7"/>
        <v>81</v>
      </c>
      <c r="P87" s="35">
        <v>3.1565287098069423</v>
      </c>
      <c r="Q87">
        <v>57</v>
      </c>
    </row>
    <row r="88" spans="1:17" x14ac:dyDescent="0.35">
      <c r="A88">
        <v>82</v>
      </c>
      <c r="B88">
        <v>1.8466998966956241</v>
      </c>
      <c r="C88" s="35">
        <f>'02 - Scaled Data'!C87</f>
        <v>0.3119828933692973</v>
      </c>
      <c r="D88" s="35">
        <f>'02 - Scaled Data'!D87</f>
        <v>0.86938665407713345</v>
      </c>
      <c r="E88" s="35">
        <f>'02 - Scaled Data'!E87</f>
        <v>1.324688220141415</v>
      </c>
      <c r="F88" s="35">
        <f t="shared" si="8"/>
        <v>1.3009287151447639</v>
      </c>
      <c r="G88" s="35">
        <f t="shared" si="9"/>
        <v>0.18722605977268328</v>
      </c>
      <c r="H88" s="35">
        <f t="shared" si="10"/>
        <v>5.6610417275803018</v>
      </c>
      <c r="I88" s="35">
        <f t="shared" si="11"/>
        <v>2.6737981416886631</v>
      </c>
      <c r="J88" s="5" t="str">
        <f>'01 - Original Data'!$E84</f>
        <v>Premium</v>
      </c>
      <c r="K88" s="5"/>
      <c r="M88" s="35">
        <f t="shared" si="12"/>
        <v>2.6737981416886631</v>
      </c>
      <c r="N88">
        <f t="shared" si="7"/>
        <v>82</v>
      </c>
      <c r="P88" s="35">
        <v>3.2138902783016765</v>
      </c>
      <c r="Q88">
        <v>31</v>
      </c>
    </row>
    <row r="89" spans="1:17" x14ac:dyDescent="0.35">
      <c r="A89">
        <v>83</v>
      </c>
      <c r="B89">
        <v>2.757092185597307</v>
      </c>
      <c r="C89" s="35">
        <f>'02 - Scaled Data'!C88</f>
        <v>1.4525655142893092</v>
      </c>
      <c r="D89" s="35">
        <f>'02 - Scaled Data'!D88</f>
        <v>1.4352202344489278</v>
      </c>
      <c r="E89" s="35">
        <f>'02 - Scaled Data'!E88</f>
        <v>0.36010941906756916</v>
      </c>
      <c r="F89" s="35">
        <f t="shared" si="8"/>
        <v>1.3009287151447639</v>
      </c>
      <c r="G89" s="35">
        <f t="shared" si="9"/>
        <v>0.32016764067636383</v>
      </c>
      <c r="H89" s="35">
        <f t="shared" si="10"/>
        <v>0.93041226348105788</v>
      </c>
      <c r="I89" s="35">
        <f t="shared" si="11"/>
        <v>1.5973442394494011</v>
      </c>
      <c r="J89" s="5" t="str">
        <f>'01 - Original Data'!$E85</f>
        <v>Standard</v>
      </c>
      <c r="K89" s="5"/>
      <c r="M89" s="35">
        <f t="shared" si="12"/>
        <v>1.5973442394494011</v>
      </c>
      <c r="N89">
        <f t="shared" si="7"/>
        <v>83</v>
      </c>
      <c r="P89" s="35">
        <v>3.2247776208274792</v>
      </c>
      <c r="Q89">
        <v>91</v>
      </c>
    </row>
    <row r="90" spans="1:17" x14ac:dyDescent="0.35">
      <c r="A90">
        <v>84</v>
      </c>
      <c r="B90">
        <v>2.5878754738076348</v>
      </c>
      <c r="C90" s="35">
        <f>'02 - Scaled Data'!C89</f>
        <v>-0.76150663220247861</v>
      </c>
      <c r="D90" s="35">
        <f>'02 - Scaled Data'!D89</f>
        <v>1.3353672496774347</v>
      </c>
      <c r="E90" s="35">
        <f>'02 - Scaled Data'!E89</f>
        <v>-1.5047429296751993</v>
      </c>
      <c r="F90" s="35">
        <f t="shared" si="8"/>
        <v>4.9021154698707532</v>
      </c>
      <c r="G90" s="35">
        <f t="shared" si="9"/>
        <v>9.9706185677760264E-3</v>
      </c>
      <c r="H90" s="35">
        <f t="shared" si="10"/>
        <v>3.47767428261142</v>
      </c>
      <c r="I90" s="35">
        <f t="shared" si="11"/>
        <v>2.8965083067462363</v>
      </c>
      <c r="J90" s="5" t="str">
        <f>'01 - Original Data'!$E86</f>
        <v>Low Value</v>
      </c>
      <c r="K90" s="5"/>
      <c r="M90" s="35">
        <f t="shared" si="12"/>
        <v>2.8965083067462363</v>
      </c>
      <c r="N90">
        <f t="shared" si="7"/>
        <v>84</v>
      </c>
      <c r="P90" s="35">
        <v>3.2259020361272608</v>
      </c>
      <c r="Q90">
        <v>93</v>
      </c>
    </row>
    <row r="91" spans="1:17" x14ac:dyDescent="0.35">
      <c r="A91">
        <v>85</v>
      </c>
      <c r="B91">
        <v>2.201395439053671</v>
      </c>
      <c r="C91" s="35">
        <f>'02 - Scaled Data'!C90</f>
        <v>-1.2311582996401307</v>
      </c>
      <c r="D91" s="35">
        <f>'02 - Scaled Data'!D90</f>
        <v>0.43669038673399668</v>
      </c>
      <c r="E91" s="35">
        <f>'02 - Scaled Data'!E90</f>
        <v>-1.5368955563776607</v>
      </c>
      <c r="F91" s="35">
        <f t="shared" si="8"/>
        <v>0.22057268872696695</v>
      </c>
      <c r="G91" s="35">
        <f t="shared" si="9"/>
        <v>0.80762010398985895</v>
      </c>
      <c r="H91" s="35">
        <f t="shared" si="10"/>
        <v>1.0337914038678364E-3</v>
      </c>
      <c r="I91" s="35">
        <f t="shared" si="11"/>
        <v>1.0145080502986132</v>
      </c>
      <c r="J91" s="5" t="str">
        <f>'01 - Original Data'!$E87</f>
        <v>Low Value</v>
      </c>
      <c r="K91" s="5"/>
      <c r="M91" s="35">
        <f t="shared" si="12"/>
        <v>1.0145080502986132</v>
      </c>
      <c r="N91">
        <f t="shared" si="7"/>
        <v>85</v>
      </c>
      <c r="P91" s="35">
        <v>3.238183839260556</v>
      </c>
      <c r="Q91">
        <v>7</v>
      </c>
    </row>
    <row r="92" spans="1:17" x14ac:dyDescent="0.35">
      <c r="A92">
        <v>86</v>
      </c>
      <c r="B92">
        <v>2.0945302869624838</v>
      </c>
      <c r="C92" s="35">
        <f>'02 - Scaled Data'!C91</f>
        <v>-0.82859972755071465</v>
      </c>
      <c r="D92" s="35">
        <f>'02 - Scaled Data'!D91</f>
        <v>1.6016418757347497</v>
      </c>
      <c r="E92" s="35">
        <f>'02 - Scaled Data'!E91</f>
        <v>-2.5722101361969129E-2</v>
      </c>
      <c r="F92" s="35">
        <f t="shared" si="8"/>
        <v>0.16205340396266957</v>
      </c>
      <c r="G92" s="35">
        <f t="shared" si="9"/>
        <v>1.3571119717250717</v>
      </c>
      <c r="H92" s="35">
        <f t="shared" si="10"/>
        <v>2.2836452111440626</v>
      </c>
      <c r="I92" s="35">
        <f t="shared" si="11"/>
        <v>1.9500796360230532</v>
      </c>
      <c r="J92" s="5" t="str">
        <f>'01 - Original Data'!$E88</f>
        <v>Standard</v>
      </c>
      <c r="K92" s="5"/>
      <c r="M92" s="35">
        <f t="shared" si="12"/>
        <v>1.9500796360230532</v>
      </c>
      <c r="N92">
        <f t="shared" si="7"/>
        <v>86</v>
      </c>
      <c r="P92" s="35">
        <v>3.3227983188511105</v>
      </c>
      <c r="Q92">
        <v>20</v>
      </c>
    </row>
    <row r="93" spans="1:17" x14ac:dyDescent="0.35">
      <c r="A93">
        <v>87</v>
      </c>
      <c r="B93">
        <v>1.972411858030354</v>
      </c>
      <c r="C93" s="35">
        <f>'02 - Scaled Data'!C92</f>
        <v>-0.22476186941659068</v>
      </c>
      <c r="D93" s="35">
        <f>'02 - Scaled Data'!D92</f>
        <v>-1.5936536369530299</v>
      </c>
      <c r="E93" s="35">
        <f>'02 - Scaled Data'!E92</f>
        <v>-1.183216662650584</v>
      </c>
      <c r="F93" s="35">
        <f t="shared" si="8"/>
        <v>0.36462015891600641</v>
      </c>
      <c r="G93" s="35">
        <f t="shared" si="9"/>
        <v>10.20991341340266</v>
      </c>
      <c r="H93" s="35">
        <f t="shared" si="10"/>
        <v>1.3397936594127231</v>
      </c>
      <c r="I93" s="35">
        <f t="shared" si="11"/>
        <v>3.4517136659536796</v>
      </c>
      <c r="J93" s="5" t="str">
        <f>'01 - Original Data'!$E89</f>
        <v>Low Value</v>
      </c>
      <c r="K93" s="5"/>
      <c r="M93" s="35">
        <f t="shared" si="12"/>
        <v>3.4517136659536796</v>
      </c>
      <c r="N93">
        <f t="shared" si="7"/>
        <v>87</v>
      </c>
      <c r="P93" s="35">
        <v>3.3396953375455767</v>
      </c>
      <c r="Q93">
        <v>25</v>
      </c>
    </row>
    <row r="94" spans="1:17" x14ac:dyDescent="0.35">
      <c r="A94">
        <v>88</v>
      </c>
      <c r="B94">
        <v>1.541411742209956</v>
      </c>
      <c r="C94" s="35">
        <f>'02 - Scaled Data'!C93</f>
        <v>0.91582075150342124</v>
      </c>
      <c r="D94" s="35">
        <f>'02 - Scaled Data'!D93</f>
        <v>-0.72826110226675622</v>
      </c>
      <c r="E94" s="35">
        <f>'02 - Scaled Data'!E93</f>
        <v>0.64948305938972284</v>
      </c>
      <c r="F94" s="35">
        <f t="shared" si="8"/>
        <v>1.3009287151447635</v>
      </c>
      <c r="G94" s="35">
        <f t="shared" si="9"/>
        <v>0.74890423909073334</v>
      </c>
      <c r="H94" s="35">
        <f t="shared" si="10"/>
        <v>3.3587882711666182</v>
      </c>
      <c r="I94" s="35">
        <f t="shared" si="11"/>
        <v>2.3256442602861931</v>
      </c>
      <c r="J94" s="5" t="str">
        <f>'01 - Original Data'!$E90</f>
        <v>Premium</v>
      </c>
      <c r="K94" s="5"/>
      <c r="M94" s="35">
        <f t="shared" si="12"/>
        <v>2.3256442602861931</v>
      </c>
      <c r="N94">
        <f t="shared" si="7"/>
        <v>88</v>
      </c>
      <c r="P94" s="35">
        <v>3.4517136659536796</v>
      </c>
      <c r="Q94">
        <v>87</v>
      </c>
    </row>
    <row r="95" spans="1:17" x14ac:dyDescent="0.35">
      <c r="A95">
        <v>89</v>
      </c>
      <c r="B95">
        <v>1.1618051274935011</v>
      </c>
      <c r="C95" s="35">
        <f>'02 - Scaled Data'!C94</f>
        <v>-0.35894806011306268</v>
      </c>
      <c r="D95" s="35">
        <f>'02 - Scaled Data'!D94</f>
        <v>0.43669038673399668</v>
      </c>
      <c r="E95" s="35">
        <f>'02 - Scaled Data'!E94</f>
        <v>-0.3794009950890459</v>
      </c>
      <c r="F95" s="35">
        <f t="shared" si="8"/>
        <v>1.6250355230701026</v>
      </c>
      <c r="G95" s="35">
        <f t="shared" si="9"/>
        <v>1.3571119717250713</v>
      </c>
      <c r="H95" s="35">
        <f t="shared" si="10"/>
        <v>1.05860239756067</v>
      </c>
      <c r="I95" s="35">
        <f t="shared" si="11"/>
        <v>2.0101616582642912</v>
      </c>
      <c r="J95" s="5" t="str">
        <f>'01 - Original Data'!$E91</f>
        <v>Standard</v>
      </c>
      <c r="K95" s="5"/>
      <c r="M95" s="35">
        <f t="shared" si="12"/>
        <v>2.0101616582642912</v>
      </c>
      <c r="N95">
        <f t="shared" si="7"/>
        <v>89</v>
      </c>
      <c r="P95" s="35">
        <v>3.4672949953561849</v>
      </c>
      <c r="Q95">
        <v>5</v>
      </c>
    </row>
    <row r="96" spans="1:17" x14ac:dyDescent="0.35">
      <c r="A96">
        <v>90</v>
      </c>
      <c r="B96" s="27">
        <v>1.6486261110713181</v>
      </c>
      <c r="C96" s="37">
        <f>'02 - Scaled Data'!C95</f>
        <v>-0.69441353685424267</v>
      </c>
      <c r="D96" s="37">
        <f>'02 - Scaled Data'!D95</f>
        <v>0.9359553105914622</v>
      </c>
      <c r="E96" s="37">
        <f>'02 - Scaled Data'!E95</f>
        <v>-0.54016412860135354</v>
      </c>
      <c r="F96" s="37">
        <f t="shared" si="8"/>
        <v>0.11253708608518717</v>
      </c>
      <c r="G96" s="37">
        <f t="shared" si="9"/>
        <v>0.24926546419440085</v>
      </c>
      <c r="H96" s="37">
        <f t="shared" si="10"/>
        <v>2.5844785096696053E-2</v>
      </c>
      <c r="I96" s="37">
        <f t="shared" si="11"/>
        <v>0.62261331127456965</v>
      </c>
      <c r="J96" s="38" t="str">
        <f>'01 - Original Data'!$E92</f>
        <v>Low Value</v>
      </c>
      <c r="K96" s="5"/>
      <c r="M96" s="35">
        <f t="shared" si="12"/>
        <v>0.62261331127456965</v>
      </c>
      <c r="N96">
        <f t="shared" si="7"/>
        <v>90</v>
      </c>
      <c r="P96" s="35">
        <v>3.5347630644104884</v>
      </c>
      <c r="Q96">
        <v>6</v>
      </c>
    </row>
    <row r="97" spans="1:17" x14ac:dyDescent="0.35">
      <c r="A97">
        <v>91</v>
      </c>
      <c r="B97">
        <v>2.6924731821826828</v>
      </c>
      <c r="C97" s="35">
        <f>'02 - Scaled Data'!C96</f>
        <v>1.2512862282446011</v>
      </c>
      <c r="D97" s="35">
        <f>'02 - Scaled Data'!D96</f>
        <v>-1.5270849804387012</v>
      </c>
      <c r="E97" s="35">
        <f>'02 - Scaled Data'!E96</f>
        <v>-1.2796745427579685</v>
      </c>
      <c r="F97" s="35">
        <f t="shared" si="8"/>
        <v>3.7857475759056953</v>
      </c>
      <c r="G97" s="35">
        <f t="shared" si="9"/>
        <v>6.0665674752379521</v>
      </c>
      <c r="H97" s="35">
        <f t="shared" si="10"/>
        <v>0.54687565264608828</v>
      </c>
      <c r="I97" s="35">
        <f t="shared" si="11"/>
        <v>3.2247776208274792</v>
      </c>
      <c r="J97" s="5" t="str">
        <f>'01 - Original Data'!$E93</f>
        <v>Low Value</v>
      </c>
      <c r="K97" s="5"/>
      <c r="M97" s="35">
        <f t="shared" si="12"/>
        <v>3.2247776208274792</v>
      </c>
      <c r="N97">
        <f t="shared" si="7"/>
        <v>91</v>
      </c>
      <c r="P97" s="35">
        <v>3.592481137944064</v>
      </c>
      <c r="Q97">
        <v>41</v>
      </c>
    </row>
    <row r="98" spans="1:17" x14ac:dyDescent="0.35">
      <c r="A98">
        <v>92</v>
      </c>
      <c r="B98">
        <v>1.697611896012535</v>
      </c>
      <c r="C98" s="35">
        <f>'02 - Scaled Data'!C97</f>
        <v>-0.56022734615777059</v>
      </c>
      <c r="D98" s="35">
        <f>'02 - Scaled Data'!D97</f>
        <v>0.70296501279131163</v>
      </c>
      <c r="E98" s="35">
        <f>'02 - Scaled Data'!E97</f>
        <v>1.6140618604635686</v>
      </c>
      <c r="F98" s="35">
        <f t="shared" si="8"/>
        <v>3.2815814302440569</v>
      </c>
      <c r="G98" s="35">
        <f t="shared" si="9"/>
        <v>4.9731229723051813</v>
      </c>
      <c r="H98" s="35">
        <f t="shared" si="10"/>
        <v>8.3737103713295191</v>
      </c>
      <c r="I98" s="35">
        <f t="shared" si="11"/>
        <v>4.0777953325147109</v>
      </c>
      <c r="J98" s="5" t="str">
        <f>'01 - Original Data'!$E94</f>
        <v>Premium</v>
      </c>
      <c r="K98" s="5"/>
      <c r="M98" s="35">
        <f t="shared" si="12"/>
        <v>4.0777953325147109</v>
      </c>
      <c r="N98">
        <f t="shared" si="7"/>
        <v>92</v>
      </c>
      <c r="P98" s="35">
        <v>3.6104118022241525</v>
      </c>
      <c r="Q98">
        <v>62</v>
      </c>
    </row>
    <row r="99" spans="1:17" x14ac:dyDescent="0.35">
      <c r="A99">
        <v>93</v>
      </c>
      <c r="B99">
        <v>2.6513423319479279</v>
      </c>
      <c r="C99" s="35">
        <f>'02 - Scaled Data'!C98</f>
        <v>1.3854724189410732</v>
      </c>
      <c r="D99" s="35">
        <f>'02 - Scaled Data'!D98</f>
        <v>0.76953366930564038</v>
      </c>
      <c r="E99" s="35">
        <f>'02 - Scaled Data'!E98</f>
        <v>-0.95814827573335326</v>
      </c>
      <c r="F99" s="35">
        <f t="shared" si="8"/>
        <v>3.7857475759056953</v>
      </c>
      <c r="G99" s="35">
        <f t="shared" si="9"/>
        <v>4.4313860301226837E-3</v>
      </c>
      <c r="H99" s="35">
        <f t="shared" si="10"/>
        <v>6.6162649847541877</v>
      </c>
      <c r="I99" s="35">
        <f t="shared" si="11"/>
        <v>3.2259020361272608</v>
      </c>
      <c r="J99" s="5" t="str">
        <f>'01 - Original Data'!$E95</f>
        <v>Low Value</v>
      </c>
      <c r="K99" s="5"/>
      <c r="M99" s="35">
        <f t="shared" si="12"/>
        <v>3.2259020361272608</v>
      </c>
      <c r="N99">
        <f t="shared" si="7"/>
        <v>93</v>
      </c>
      <c r="P99" s="35">
        <v>3.6515617763581898</v>
      </c>
      <c r="Q99">
        <v>59</v>
      </c>
    </row>
    <row r="100" spans="1:17" x14ac:dyDescent="0.35">
      <c r="A100">
        <v>94</v>
      </c>
      <c r="B100">
        <v>0.63616189194040462</v>
      </c>
      <c r="C100" s="35">
        <f>'02 - Scaled Data'!C99</f>
        <v>-0.15766877406835467</v>
      </c>
      <c r="D100" s="35">
        <f>'02 - Scaled Data'!D99</f>
        <v>-0.72826110226675622</v>
      </c>
      <c r="E100" s="35">
        <f>'02 - Scaled Data'!E99</f>
        <v>-2.5722101361969129E-2</v>
      </c>
      <c r="F100" s="35">
        <f t="shared" si="8"/>
        <v>2.3812847415625602</v>
      </c>
      <c r="G100" s="35">
        <f t="shared" si="9"/>
        <v>2.2433891777496076</v>
      </c>
      <c r="H100" s="35">
        <f t="shared" si="10"/>
        <v>0.86941857065285477</v>
      </c>
      <c r="I100" s="35">
        <f t="shared" si="11"/>
        <v>2.3439480561576063</v>
      </c>
      <c r="J100" s="5" t="str">
        <f>'01 - Original Data'!$E96</f>
        <v>Standard</v>
      </c>
      <c r="K100" s="5"/>
      <c r="M100" s="35">
        <f t="shared" si="12"/>
        <v>2.3439480561576063</v>
      </c>
      <c r="N100">
        <f t="shared" si="7"/>
        <v>94</v>
      </c>
      <c r="P100" s="35">
        <v>3.876015178768049</v>
      </c>
      <c r="Q100">
        <v>80</v>
      </c>
    </row>
    <row r="101" spans="1:17" x14ac:dyDescent="0.35">
      <c r="A101">
        <v>95</v>
      </c>
      <c r="B101">
        <v>1.234696873573099</v>
      </c>
      <c r="C101" s="35">
        <f>'02 - Scaled Data'!C100</f>
        <v>-2.3482583371882693E-2</v>
      </c>
      <c r="D101" s="35">
        <f>'02 - Scaled Data'!D100</f>
        <v>-1.3273790108957149</v>
      </c>
      <c r="E101" s="35">
        <f>'02 - Scaled Data'!E100</f>
        <v>1.0031619531167997</v>
      </c>
      <c r="F101" s="35">
        <f t="shared" si="8"/>
        <v>1.8005933773629943E-2</v>
      </c>
      <c r="G101" s="35">
        <f t="shared" si="9"/>
        <v>0.35894226843993721</v>
      </c>
      <c r="H101" s="35">
        <f t="shared" si="10"/>
        <v>1.05860239756067</v>
      </c>
      <c r="I101" s="35">
        <f t="shared" si="11"/>
        <v>1.1981446489361112</v>
      </c>
      <c r="J101" s="5" t="str">
        <f>'01 - Original Data'!$E97</f>
        <v>Premium</v>
      </c>
      <c r="K101" s="5"/>
      <c r="M101" s="35">
        <f t="shared" si="12"/>
        <v>1.1981446489361112</v>
      </c>
      <c r="N101">
        <f t="shared" si="7"/>
        <v>95</v>
      </c>
      <c r="P101" s="35">
        <v>3.9215359201879325</v>
      </c>
      <c r="Q101">
        <v>44</v>
      </c>
    </row>
    <row r="102" spans="1:17" x14ac:dyDescent="0.35">
      <c r="A102">
        <v>96</v>
      </c>
      <c r="B102">
        <v>2.0909292311025518</v>
      </c>
      <c r="C102" s="35">
        <f>'02 - Scaled Data'!C101</f>
        <v>-9.057567872011868E-2</v>
      </c>
      <c r="D102" s="35">
        <f>'02 - Scaled Data'!D101</f>
        <v>0.43669038673399668</v>
      </c>
      <c r="E102" s="35">
        <f>'02 - Scaled Data'!E101</f>
        <v>-1.4725903029727376</v>
      </c>
      <c r="F102" s="35">
        <f t="shared" si="8"/>
        <v>4.5014834434074858E-3</v>
      </c>
      <c r="G102" s="35">
        <f t="shared" si="9"/>
        <v>3.111940839653653</v>
      </c>
      <c r="H102" s="35">
        <f t="shared" si="10"/>
        <v>6.1293492335324329</v>
      </c>
      <c r="I102" s="35">
        <f t="shared" si="11"/>
        <v>3.0406893226091833</v>
      </c>
      <c r="J102" s="5" t="str">
        <f>'01 - Original Data'!$E98</f>
        <v>Low Value</v>
      </c>
      <c r="K102" s="5"/>
      <c r="M102" s="35">
        <f t="shared" si="12"/>
        <v>3.0406893226091833</v>
      </c>
      <c r="N102">
        <f t="shared" si="7"/>
        <v>96</v>
      </c>
      <c r="P102" s="35">
        <v>3.9761708591264444</v>
      </c>
      <c r="Q102">
        <v>58</v>
      </c>
    </row>
    <row r="103" spans="1:17" x14ac:dyDescent="0.35">
      <c r="A103">
        <v>97</v>
      </c>
      <c r="B103">
        <v>2.2330745039840409</v>
      </c>
      <c r="C103" s="35">
        <f>'02 - Scaled Data'!C102</f>
        <v>1.2512862282446011</v>
      </c>
      <c r="D103" s="35">
        <f>'02 - Scaled Data'!D102</f>
        <v>-0.39541781969511258</v>
      </c>
      <c r="E103" s="35">
        <f>'02 - Scaled Data'!E102</f>
        <v>-0.92599564903089182</v>
      </c>
      <c r="F103" s="35">
        <f t="shared" si="8"/>
        <v>1.8005933773629941</v>
      </c>
      <c r="G103" s="35">
        <f t="shared" si="9"/>
        <v>0.69240406720666903</v>
      </c>
      <c r="H103" s="35">
        <f t="shared" si="10"/>
        <v>0.29876571571780619</v>
      </c>
      <c r="I103" s="35">
        <f t="shared" si="11"/>
        <v>1.6708570137170533</v>
      </c>
      <c r="J103" s="5" t="str">
        <f>'01 - Original Data'!$E99</f>
        <v>Low Value</v>
      </c>
      <c r="K103" s="5"/>
      <c r="M103" s="35">
        <f t="shared" si="12"/>
        <v>1.6708570137170533</v>
      </c>
      <c r="N103">
        <f t="shared" si="7"/>
        <v>97</v>
      </c>
      <c r="P103" s="35">
        <v>4.0125096805842002</v>
      </c>
      <c r="Q103">
        <v>53</v>
      </c>
    </row>
    <row r="104" spans="1:17" x14ac:dyDescent="0.35">
      <c r="A104">
        <v>98</v>
      </c>
      <c r="B104">
        <v>2.8147115781512499</v>
      </c>
      <c r="C104" s="35">
        <f>'02 - Scaled Data'!C103</f>
        <v>0.98291384685165717</v>
      </c>
      <c r="D104" s="35">
        <f>'02 - Scaled Data'!D103</f>
        <v>1.6016418757347497</v>
      </c>
      <c r="E104" s="35">
        <f>'02 - Scaled Data'!E103</f>
        <v>-0.79738514222104573</v>
      </c>
      <c r="F104" s="35">
        <f t="shared" si="8"/>
        <v>7.2023735094519772E-2</v>
      </c>
      <c r="G104" s="35">
        <f t="shared" si="9"/>
        <v>3.9882474271104145</v>
      </c>
      <c r="H104" s="35">
        <f t="shared" si="10"/>
        <v>1.6540662461885468E-2</v>
      </c>
      <c r="I104" s="35">
        <f t="shared" si="11"/>
        <v>2.0191116424474451</v>
      </c>
      <c r="J104" s="5" t="str">
        <f>'01 - Original Data'!$E100</f>
        <v>Low Value</v>
      </c>
      <c r="K104" s="5"/>
      <c r="M104" s="35">
        <f t="shared" si="12"/>
        <v>2.0191116424474451</v>
      </c>
      <c r="N104">
        <f t="shared" si="7"/>
        <v>98</v>
      </c>
      <c r="P104" s="35">
        <v>4.03267757039215</v>
      </c>
      <c r="Q104">
        <v>47</v>
      </c>
    </row>
    <row r="105" spans="1:17" x14ac:dyDescent="0.35">
      <c r="A105">
        <v>99</v>
      </c>
      <c r="B105">
        <v>0.91627344259340437</v>
      </c>
      <c r="C105" s="35">
        <f>'02 - Scaled Data'!C104</f>
        <v>0.1777967026728253</v>
      </c>
      <c r="D105" s="35">
        <f>'02 - Scaled Data'!D104</f>
        <v>7.0562775905188613E-2</v>
      </c>
      <c r="E105" s="35">
        <f>'02 - Scaled Data'!E104</f>
        <v>0.16719365885280002</v>
      </c>
      <c r="F105" s="35">
        <f t="shared" si="8"/>
        <v>0.64821361585067794</v>
      </c>
      <c r="G105" s="35">
        <f t="shared" si="9"/>
        <v>2.3442032099348991</v>
      </c>
      <c r="H105" s="35">
        <f t="shared" si="10"/>
        <v>0.93041226348105766</v>
      </c>
      <c r="I105" s="35">
        <f t="shared" si="11"/>
        <v>1.9806133113928712</v>
      </c>
      <c r="J105" s="5" t="str">
        <f>'01 - Original Data'!$E101</f>
        <v>Standard</v>
      </c>
      <c r="K105" s="5"/>
      <c r="M105" s="35">
        <f t="shared" si="12"/>
        <v>1.9806133113928712</v>
      </c>
      <c r="N105">
        <f t="shared" si="7"/>
        <v>99</v>
      </c>
      <c r="P105" s="35">
        <v>4.0427000376933968</v>
      </c>
      <c r="Q105">
        <v>69</v>
      </c>
    </row>
    <row r="106" spans="1:17" x14ac:dyDescent="0.35">
      <c r="A106">
        <v>100</v>
      </c>
      <c r="B106">
        <v>0.93476592483607002</v>
      </c>
      <c r="C106" s="35">
        <f>'02 - Scaled Data'!C105</f>
        <v>-0.76150663220247861</v>
      </c>
      <c r="D106" s="35">
        <f>'02 - Scaled Data'!D105</f>
        <v>-0.16242752189496198</v>
      </c>
      <c r="E106" s="35">
        <f>'02 - Scaled Data'!E105</f>
        <v>-0.50801150189889199</v>
      </c>
      <c r="F106" s="35">
        <f t="shared" si="8"/>
        <v>0.88229075490786735</v>
      </c>
      <c r="G106" s="35">
        <f t="shared" si="9"/>
        <v>5.428447886900286E-2</v>
      </c>
      <c r="H106" s="35">
        <f t="shared" si="10"/>
        <v>0.45590200910571826</v>
      </c>
      <c r="I106" s="35">
        <f t="shared" si="11"/>
        <v>1.180032729581086</v>
      </c>
      <c r="J106" s="5" t="str">
        <f>'01 - Original Data'!$E102</f>
        <v>Standard</v>
      </c>
      <c r="K106" s="5"/>
      <c r="M106" s="35">
        <f t="shared" si="12"/>
        <v>1.180032729581086</v>
      </c>
      <c r="N106">
        <f t="shared" si="7"/>
        <v>100</v>
      </c>
      <c r="P106" s="35">
        <v>4.0777953325147109</v>
      </c>
      <c r="Q106">
        <v>92</v>
      </c>
    </row>
  </sheetData>
  <sortState xmlns:xlrd2="http://schemas.microsoft.com/office/spreadsheetml/2017/richdata2" ref="P7:Q106">
    <sortCondition ref="P7:P10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13"/>
  <sheetViews>
    <sheetView showGridLines="0" tabSelected="1" zoomScale="140" zoomScaleNormal="140" workbookViewId="0">
      <selection activeCell="B13" sqref="B13"/>
    </sheetView>
  </sheetViews>
  <sheetFormatPr defaultColWidth="8.81640625" defaultRowHeight="14.5" x14ac:dyDescent="0.35"/>
  <cols>
    <col min="1" max="1" width="2.26953125" customWidth="1"/>
    <col min="5" max="5" width="16" bestFit="1" customWidth="1"/>
    <col min="6" max="6" width="13.453125" bestFit="1" customWidth="1"/>
    <col min="7" max="7" width="9.90625" customWidth="1"/>
    <col min="8" max="8" width="17.453125" customWidth="1"/>
    <col min="9" max="10" width="14.453125" customWidth="1"/>
    <col min="12" max="12" width="12" customWidth="1"/>
  </cols>
  <sheetData>
    <row r="2" spans="2:16" x14ac:dyDescent="0.35">
      <c r="B2" t="s">
        <v>52</v>
      </c>
    </row>
    <row r="3" spans="2:16" ht="15" thickBot="1" x14ac:dyDescent="0.4"/>
    <row r="4" spans="2:16" ht="15" thickBot="1" x14ac:dyDescent="0.4">
      <c r="B4" s="1" t="s">
        <v>51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12</v>
      </c>
      <c r="H4" s="1" t="s">
        <v>4</v>
      </c>
      <c r="I4" s="1" t="s">
        <v>17</v>
      </c>
      <c r="J4" s="6" t="s">
        <v>18</v>
      </c>
      <c r="L4" s="22" t="s">
        <v>43</v>
      </c>
      <c r="M4" s="23"/>
      <c r="N4" s="23"/>
      <c r="O4" s="23"/>
      <c r="P4" s="24"/>
    </row>
    <row r="5" spans="2:16" x14ac:dyDescent="0.35">
      <c r="B5">
        <v>1</v>
      </c>
      <c r="C5" s="13">
        <f>'04 - Distances'!Q7</f>
        <v>90</v>
      </c>
      <c r="D5">
        <f>VLOOKUP(C5,'01 - Original Data'!$A$3:$D$102,2,FALSE)</f>
        <v>33</v>
      </c>
      <c r="E5">
        <f>VLOOKUP(C5,'01 - Original Data'!$A$3:$D$102,3,FALSE)</f>
        <v>96</v>
      </c>
      <c r="F5">
        <f>VLOOKUP(C5,'01 - Original Data'!$A$3:$D$102,4,FALSE)</f>
        <v>32</v>
      </c>
      <c r="G5" s="14" t="str">
        <f>VLOOKUP(C5,'01 - Original Data'!$A$3:$E$102,5,FALSE)</f>
        <v>Low Value</v>
      </c>
      <c r="H5" s="35">
        <f>VLOOKUP(C5,'04 - Distances'!$A$7:$I$106,9,FALSE)</f>
        <v>0.62261331127456965</v>
      </c>
      <c r="I5" s="35">
        <f>VLOOKUP(C5,'04 - Distances'!A7:E106,4,FALSE)</f>
        <v>0.9359553105914622</v>
      </c>
      <c r="J5" s="35">
        <f>VLOOKUP(C5,'04 - Distances'!A7:E106,5,FALSE)</f>
        <v>-0.54016412860135354</v>
      </c>
      <c r="L5" s="16" t="s">
        <v>44</v>
      </c>
      <c r="M5" s="17"/>
      <c r="N5" s="17"/>
      <c r="O5" s="17"/>
      <c r="P5" s="18"/>
    </row>
    <row r="6" spans="2:16" x14ac:dyDescent="0.35">
      <c r="B6">
        <v>2</v>
      </c>
      <c r="C6" s="13">
        <f>'04 - Distances'!Q8</f>
        <v>10</v>
      </c>
      <c r="D6">
        <f>VLOOKUP(C6,'01 - Original Data'!$A$3:$D$102,2,FALSE)</f>
        <v>40</v>
      </c>
      <c r="E6">
        <f>VLOOKUP(C6,'01 - Original Data'!$A$3:$D$102,3,FALSE)</f>
        <v>82</v>
      </c>
      <c r="F6">
        <f>VLOOKUP(C6,'01 - Original Data'!$A$3:$D$102,4,FALSE)</f>
        <v>52</v>
      </c>
      <c r="G6" s="14" t="str">
        <f>VLOOKUP(C6,'01 - Original Data'!$A$3:$E$102,5,FALSE)</f>
        <v>Standard</v>
      </c>
      <c r="H6" s="35">
        <f>VLOOKUP(C6,'04 - Distances'!$A$7:$I$106,9,FALSE)</f>
        <v>0.89534590680944703</v>
      </c>
      <c r="I6" s="35">
        <f>VLOOKUP(C6,'04 - Distances'!A8:E107,4,FALSE)</f>
        <v>0.46997471499116106</v>
      </c>
      <c r="J6" s="35">
        <f>VLOOKUP(C6,'04 - Distances'!A8:E107,5,FALSE)</f>
        <v>0.10288840544787696</v>
      </c>
      <c r="L6" s="16" t="s">
        <v>45</v>
      </c>
      <c r="M6" s="17"/>
      <c r="N6" s="17"/>
      <c r="O6" s="17"/>
      <c r="P6" s="18"/>
    </row>
    <row r="7" spans="2:16" x14ac:dyDescent="0.35">
      <c r="B7">
        <v>3</v>
      </c>
      <c r="C7" s="13">
        <f>'04 - Distances'!Q9</f>
        <v>65</v>
      </c>
      <c r="D7">
        <f>VLOOKUP(C7,'01 - Original Data'!$A$3:$D$102,2,FALSE)</f>
        <v>34</v>
      </c>
      <c r="E7">
        <f>VLOOKUP(C7,'01 - Original Data'!$A$3:$D$102,3,FALSE)</f>
        <v>51</v>
      </c>
      <c r="F7">
        <f>VLOOKUP(C7,'01 - Original Data'!$A$3:$D$102,4,FALSE)</f>
        <v>33</v>
      </c>
      <c r="G7" s="14" t="str">
        <f>VLOOKUP(C7,'01 - Original Data'!$A$3:$E$102,5,FALSE)</f>
        <v>Standard</v>
      </c>
      <c r="H7" s="35">
        <f>VLOOKUP(C7,'04 - Distances'!$A$7:$I$106,9,FALSE)</f>
        <v>0.90202252577501096</v>
      </c>
      <c r="I7" s="35">
        <f>VLOOKUP(C7,'04 - Distances'!A9:E108,4,FALSE)</f>
        <v>-0.5618394609809344</v>
      </c>
      <c r="J7" s="35">
        <f>VLOOKUP(C7,'04 - Distances'!A9:E108,5,FALSE)</f>
        <v>-0.50801150189889199</v>
      </c>
      <c r="L7" s="16" t="s">
        <v>46</v>
      </c>
      <c r="M7" s="17"/>
      <c r="N7" s="17"/>
      <c r="O7" s="17"/>
      <c r="P7" s="18"/>
    </row>
    <row r="8" spans="2:16" ht="15" thickBot="1" x14ac:dyDescent="0.4">
      <c r="B8">
        <v>4</v>
      </c>
      <c r="C8" s="13">
        <f>'04 - Distances'!Q10</f>
        <v>76</v>
      </c>
      <c r="D8">
        <f>VLOOKUP(C8,'01 - Original Data'!$A$3:$D$102,2,FALSE)</f>
        <v>43</v>
      </c>
      <c r="E8">
        <f>VLOOKUP(C8,'01 - Original Data'!$A$3:$D$102,3,FALSE)</f>
        <v>47</v>
      </c>
      <c r="F8">
        <f>VLOOKUP(C8,'01 - Original Data'!$A$3:$D$102,4,FALSE)</f>
        <v>31</v>
      </c>
      <c r="G8" s="14" t="str">
        <f>VLOOKUP(C8,'01 - Original Data'!$A$3:$E$102,5,FALSE)</f>
        <v>Low Value</v>
      </c>
      <c r="H8" s="35">
        <f>VLOOKUP(C8,'04 - Distances'!$A$7:$I$106,9,FALSE)</f>
        <v>0.94363939080056702</v>
      </c>
      <c r="I8" s="35">
        <f>VLOOKUP(C8,'04 - Distances'!A10:E109,4,FALSE)</f>
        <v>-0.6949767740095919</v>
      </c>
      <c r="J8" s="35">
        <f>VLOOKUP(C8,'04 - Distances'!A10:E109,5,FALSE)</f>
        <v>-0.57231675530381498</v>
      </c>
      <c r="L8" s="19" t="s">
        <v>47</v>
      </c>
      <c r="M8" s="20"/>
      <c r="N8" s="20"/>
      <c r="O8" s="20"/>
      <c r="P8" s="21"/>
    </row>
    <row r="9" spans="2:16" x14ac:dyDescent="0.35">
      <c r="B9">
        <v>5</v>
      </c>
      <c r="C9" s="13">
        <f>'04 - Distances'!Q11</f>
        <v>85</v>
      </c>
      <c r="D9">
        <f>VLOOKUP(C9,'01 - Original Data'!$A$3:$D$102,2,FALSE)</f>
        <v>25</v>
      </c>
      <c r="E9">
        <f>VLOOKUP(C9,'01 - Original Data'!$A$3:$D$102,3,FALSE)</f>
        <v>81</v>
      </c>
      <c r="F9">
        <f>VLOOKUP(C9,'01 - Original Data'!$A$3:$D$102,4,FALSE)</f>
        <v>1</v>
      </c>
      <c r="G9" s="14" t="str">
        <f>VLOOKUP(C9,'01 - Original Data'!$A$3:$E$102,5,FALSE)</f>
        <v>Low Value</v>
      </c>
      <c r="H9" s="35">
        <f>VLOOKUP(C9,'04 - Distances'!$A$7:$I$106,9,FALSE)</f>
        <v>1.0145080502986132</v>
      </c>
      <c r="I9" s="35">
        <f>VLOOKUP(C9,'04 - Distances'!A11:E110,4,FALSE)</f>
        <v>0.43669038673399668</v>
      </c>
      <c r="J9" s="35">
        <f>VLOOKUP(C9,'04 - Distances'!A11:E110,5,FALSE)</f>
        <v>-1.5368955563776607</v>
      </c>
    </row>
    <row r="10" spans="2:16" x14ac:dyDescent="0.35">
      <c r="D10" s="11">
        <f>'04 - Distances'!C5</f>
        <v>35</v>
      </c>
      <c r="E10" s="11">
        <f>'04 - Distances'!D5</f>
        <v>55</v>
      </c>
      <c r="F10" s="11">
        <f>'04 - Distances'!E5</f>
        <v>60</v>
      </c>
      <c r="G10" s="11" t="s">
        <v>14</v>
      </c>
      <c r="H10" s="35"/>
      <c r="I10" s="35">
        <f>'04 - Distances'!D6</f>
        <v>-0.42870214795227696</v>
      </c>
      <c r="J10" s="35">
        <f>'04 - Distances'!E6</f>
        <v>0.36010941906756916</v>
      </c>
      <c r="L10" s="3" t="s">
        <v>48</v>
      </c>
    </row>
    <row r="11" spans="2:16" x14ac:dyDescent="0.35">
      <c r="L11" t="s">
        <v>14</v>
      </c>
      <c r="M11">
        <f>COUNTIF($G$5:$G$9,L11)</f>
        <v>3</v>
      </c>
    </row>
    <row r="12" spans="2:16" x14ac:dyDescent="0.35">
      <c r="L12" t="s">
        <v>15</v>
      </c>
      <c r="M12">
        <f>COUNTIF($G$5:$G$9,L12)</f>
        <v>2</v>
      </c>
    </row>
    <row r="13" spans="2:16" x14ac:dyDescent="0.35">
      <c r="L13" t="s">
        <v>16</v>
      </c>
      <c r="M13">
        <f>COUNTIF($G$5:$G$9,L13)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01 - Original Data</vt:lpstr>
      <vt:lpstr>02 - Scaled Data</vt:lpstr>
      <vt:lpstr>03 - New Client</vt:lpstr>
      <vt:lpstr>04 - Distances</vt:lpstr>
      <vt:lpstr>05 - Nearest Neighbors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Vinueza</cp:lastModifiedBy>
  <dcterms:created xsi:type="dcterms:W3CDTF">2025-04-13T16:00:42Z</dcterms:created>
  <dcterms:modified xsi:type="dcterms:W3CDTF">2026-05-24T12:05:00Z</dcterms:modified>
</cp:coreProperties>
</file>